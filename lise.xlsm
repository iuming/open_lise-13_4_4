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Program Files (x86)\LISE\"/>
    </mc:Choice>
  </mc:AlternateContent>
  <workbookProtection workbookAlgorithmName="SHA-512" workbookHashValue="tAVg/dKUncTC3L/zA3Whax/qfyy06awRy/3k0LTZKfW+aQfvsltK0Nu3IO5Qe5hWhlpr7X9QgTr1l7HL4LOxkg==" workbookSaltValue="PrKVkQzYCiOw3opAB/fs9w==" workbookSpinCount="100000" lockStructure="1"/>
  <bookViews>
    <workbookView xWindow="240" yWindow="45" windowWidth="21510" windowHeight="12240" tabRatio="909" firstSheet="1" activeTab="1"/>
  </bookViews>
  <sheets>
    <sheet name="LISE" sheetId="1" state="veryHidden" r:id=""/>
    <sheet name="Base" sheetId="2" r:id="rId1"/>
    <sheet name="Global" sheetId="3" r:id="rId2"/>
    <sheet name="ChargeStates -&gt; MeanValue" sheetId="4" r:id="rId3"/>
    <sheet name="PID resolution calculator" sheetId="10" r:id="rId4"/>
    <sheet name="ReactionCalculation" sheetId="5" r:id="rId5"/>
    <sheet name="List of LISE.xlsm functions" sheetId="11" r:id="rId6"/>
    <sheet name="work" sheetId="12" r:id="rId7"/>
    <sheet name="parameters" sheetId="8" state="hidden" r:id="rId8"/>
    <sheet name="data" sheetId="9" state="hidden" r:id="rId9"/>
  </sheets>
  <functionGroups builtInGroupCount="18"/>
  <definedNames>
    <definedName name="_1st_Z__detector_material">'PID resolution calculator'!$G$4</definedName>
    <definedName name="_1st_Z__detector_thickness">'PID resolution calculator'!$G$5</definedName>
    <definedName name="_Rn1">ReactionCalculation!$C$37:$M$37</definedName>
    <definedName name="_Rn2">ReactionCalculation!$C$38:$M$38</definedName>
    <definedName name="_Rp1">ReactionCalculation!$C$9:$M$9</definedName>
    <definedName name="_Rt1">ReactionCalculation!$C$21:$M$21</definedName>
    <definedName name="A" localSheetId="4">'PID resolution calculator'!$B$2</definedName>
    <definedName name="a" localSheetId="5">ReactionCalculation!$C$54:$M$54</definedName>
    <definedName name="A">#REF!</definedName>
    <definedName name="A__from_A_q___q___integer">'PID resolution calculator'!$B$33</definedName>
    <definedName name="A__from_A_q___q___measur">'PID resolution calculator'!$B$34</definedName>
    <definedName name="A__from_TKE">'PID resolution calculator'!$B$32</definedName>
    <definedName name="A_2">'PID resolution calculator'!$AD$2</definedName>
    <definedName name="A_2q">'PID resolution calculator'!$B$35</definedName>
    <definedName name="A_2Z">'PID resolution calculator'!$B$37</definedName>
    <definedName name="A_3q">'PID resolution calculator'!$B$36</definedName>
    <definedName name="a_pin_de">parameters!$B$8</definedName>
    <definedName name="A_q">'PID resolution calculator'!$B$27</definedName>
    <definedName name="a_sci_de">parameters!$F$8</definedName>
    <definedName name="a_tof">parameters!$B$2</definedName>
    <definedName name="a_tof2">parameters!$F$2</definedName>
    <definedName name="a_z">parameters!$B$15</definedName>
    <definedName name="A2_">'PID resolution calculator'!$AD$2</definedName>
    <definedName name="Ac">ReactionCalculation!$C$26:$M$26</definedName>
    <definedName name="Ac3_">ReactionCalculation!$C$33:$M$33</definedName>
    <definedName name="aem">parameters!$F$23</definedName>
    <definedName name="Afragment">Base!$E$55</definedName>
    <definedName name="AngDif1">ReactionCalculation!$C$67:$M$67</definedName>
    <definedName name="AngDif2">ReactionCalculation!$C$68:$M$68</definedName>
    <definedName name="Ap">ReactionCalculation!$C$2:$M$2</definedName>
    <definedName name="Ap3_">ReactionCalculation!$C$7:$M$7</definedName>
    <definedName name="Aparticle">Base!$F$4</definedName>
    <definedName name="Aparticle_g">Global!$C$6</definedName>
    <definedName name="Aq_2">'PID resolution calculator'!$AD$27</definedName>
    <definedName name="At">ReactionCalculation!$C$14:$M$14</definedName>
    <definedName name="At3_">ReactionCalculation!$C$19:$M$19</definedName>
    <definedName name="AtAp3">ReactionCalculation!$C$34:$M$34</definedName>
    <definedName name="Atarget">Base!$F$6</definedName>
    <definedName name="Atarget_g">Global!$C$10</definedName>
    <definedName name="b_pin_de">parameters!$B$9</definedName>
    <definedName name="b_sci_de">parameters!$F$9</definedName>
    <definedName name="b_tof">parameters!$B$3</definedName>
    <definedName name="b_tof2">parameters!$F$3</definedName>
    <definedName name="b_z">parameters!$B$16</definedName>
    <definedName name="BeamZ">'ChargeStates -&gt; MeanValue'!$B$31</definedName>
    <definedName name="beta">'PID resolution calculator'!$B$24</definedName>
    <definedName name="beta_2">'PID resolution calculator'!$AD$24</definedName>
    <definedName name="beta_up">'PID resolution calculator'!$P$19</definedName>
    <definedName name="beta_up2">'PID resolution calculator'!$S$20</definedName>
    <definedName name="beta2">'PID resolution calculator'!$R$20</definedName>
    <definedName name="betaS_up">'PID resolution calculator'!$U$20</definedName>
    <definedName name="betaS2">'PID resolution calculator'!$U$18</definedName>
    <definedName name="betaS2_up">'PID resolution calculator'!$V$18</definedName>
    <definedName name="bgr">ReactionCalculation!$C$69:$M$69</definedName>
    <definedName name="Brho">'PID resolution calculator'!$B$19</definedName>
    <definedName name="brho_up">'PID resolution calculator'!$P$18</definedName>
    <definedName name="Brho1">#REF!</definedName>
    <definedName name="Brho2">#REF!</definedName>
    <definedName name="C_">ReactionCalculation!$C$42:$M$42</definedName>
    <definedName name="c_speed">parameters!$F$22</definedName>
    <definedName name="CCp">ReactionCalculation!$C$12:$M$12</definedName>
    <definedName name="CCt">ReactionCalculation!$C$24:$M$24</definedName>
    <definedName name="coef_Aq">'PID resolution calculator'!$Y$1</definedName>
    <definedName name="Cp">ReactionCalculation!$C$10:$M$10</definedName>
    <definedName name="Cp1_">ReactionCalculation!$C$11:$M$11</definedName>
    <definedName name="Cp2_">ReactionCalculation!$C$12:$M$12</definedName>
    <definedName name="Ct">ReactionCalculation!$C$22:$M$22</definedName>
    <definedName name="Ct1_">ReactionCalculation!$C$23:$M$23</definedName>
    <definedName name="Ct2_">ReactionCalculation!$C$24:$M$24</definedName>
    <definedName name="d_AoQ_1">'PID resolution calculator'!$D$27</definedName>
    <definedName name="d_AoQ_2">'PID resolution calculator'!$AF$27</definedName>
    <definedName name="dA_shift">'PID resolution calculator'!$Y$3</definedName>
    <definedName name="dEc">ReactionCalculation!$C$30:$M$30</definedName>
    <definedName name="definition">ReactionCalculation!$C$2:$C$69</definedName>
    <definedName name="dEp">ReactionCalculation!$C$6:$M$6</definedName>
    <definedName name="dEt">ReactionCalculation!$C$18:$M$18</definedName>
    <definedName name="Detector_resolution">'PID resolution calculator'!$J$14</definedName>
    <definedName name="Dgr">ReactionCalculation!$C$64:$M$64</definedName>
    <definedName name="Dgr_AtAp">ReactionCalculation!$C$65:$M$65</definedName>
    <definedName name="Dgr_AtAp3">ReactionCalculation!$C$65:$M$65</definedName>
    <definedName name="dispersion">parameters!$F$29</definedName>
    <definedName name="E1_loss">'PID resolution calculator'!$B$20</definedName>
    <definedName name="Ecm">ReactionCalculation!$C$50:$M$50</definedName>
    <definedName name="Ecm_Q">ReactionCalculation!$C$51:$M$51</definedName>
    <definedName name="Elab">ReactionCalculation!$C$48:$M$48</definedName>
    <definedName name="Elab_A">ReactionCalculation!$C$49:$M$49</definedName>
    <definedName name="Eloss_option">'PID resolution calculator'!$Y$2</definedName>
    <definedName name="energy" localSheetId="3">'ChargeStates -&gt; MeanValue'!$B$2</definedName>
    <definedName name="Energy" localSheetId="4">'PID resolution calculator'!$G$2</definedName>
    <definedName name="energy">Base!$F$7</definedName>
    <definedName name="Energy_2">'PID resolution calculator'!$AD$8</definedName>
    <definedName name="Energy_g">Global!$C$9</definedName>
    <definedName name="Energy_loss_option">Base!$E$58</definedName>
    <definedName name="Energy2">'ChargeStates -&gt; MeanValue'!$B$32</definedName>
    <definedName name="ETA">ReactionCalculation!$C$52:$M$52</definedName>
    <definedName name="Fast_g">Global!$C$14</definedName>
    <definedName name="Flight_Length">'PID resolution calculator'!$G$3</definedName>
    <definedName name="formula">ReactionCalculation!$E$2:$E$69</definedName>
    <definedName name="gamma">'PID resolution calculator'!$B$25</definedName>
    <definedName name="gamma_2">'PID resolution calculator'!$AD$25</definedName>
    <definedName name="gamma_up">'PID resolution calculator'!$P$20</definedName>
    <definedName name="gammaS_up">'PID resolution calculator'!$V$20</definedName>
    <definedName name="HF">parameters!$F$13</definedName>
    <definedName name="IonMass">Base!$E$25</definedName>
    <definedName name="k">ReactionCalculation!$C$53:$M$53</definedName>
    <definedName name="Lcr">ReactionCalculation!$C$58:$M$58</definedName>
    <definedName name="LcriticalF">ReactionCalculation!$C$58:$M$58</definedName>
    <definedName name="length1">parameters!$F$16</definedName>
    <definedName name="length2">parameters!$F$17</definedName>
    <definedName name="Lmax">ReactionCalculation!$C$59:$M$59</definedName>
    <definedName name="m">ReactionCalculation!$C$32:$M$32</definedName>
    <definedName name="M_ion">'PID resolution calculator'!$B$6</definedName>
    <definedName name="M_ion_2">'PID resolution calculator'!$AD$6</definedName>
    <definedName name="M_ion_q_2">'PID resolution calculator'!$AD$7</definedName>
    <definedName name="M_isotope">'PID resolution calculator'!$B$5</definedName>
    <definedName name="M_isotope_2">'PID resolution calculator'!$AD$5</definedName>
    <definedName name="m_TOF">'PID resolution calculator'!$B$18</definedName>
    <definedName name="mass_58Ni">parameters!$F$20</definedName>
    <definedName name="Material_pin">parameters!$B$10</definedName>
    <definedName name="Mc">ReactionCalculation!$C$29:$M$29</definedName>
    <definedName name="me_TKE">'PID resolution calculator'!$E$21</definedName>
    <definedName name="me_TOF">'PID resolution calculator'!$E$18</definedName>
    <definedName name="Momentum_Resolution">'PID resolution calculator'!$J$15</definedName>
    <definedName name="MoQ1_int">'PID resolution calculator'!$AD$10</definedName>
    <definedName name="Mp">ReactionCalculation!$C$5:$M$5</definedName>
    <definedName name="Mt">ReactionCalculation!$C$17:$M$17</definedName>
    <definedName name="name">ReactionCalculation!$C$2:$M$69</definedName>
    <definedName name="Name_p">ReactionCalculation!$C$4:$M$4</definedName>
    <definedName name="Name_t">ReactionCalculation!$C$16:$M$16</definedName>
    <definedName name="offsetX">parameters!$F$26</definedName>
    <definedName name="Opt">Base!$E$56</definedName>
    <definedName name="Option_g">Global!$C$13</definedName>
    <definedName name="_xlnm.Print_Area" localSheetId="1">Base!$B$2:$G$44</definedName>
    <definedName name="_xlnm.Print_Area" localSheetId="8">parameters!$A$1:$G$29</definedName>
    <definedName name="_xlnm.Print_Area" localSheetId="5">ReactionCalculation!$A$1:$M$69</definedName>
    <definedName name="q" localSheetId="4">'PID resolution calculator'!$B$4</definedName>
    <definedName name="Q">ReactionCalculation!$C$31:$M$31</definedName>
    <definedName name="q_2">'PID resolution calculator'!$AD$4</definedName>
    <definedName name="Q1_">#REF!</definedName>
    <definedName name="Q2_">#REF!</definedName>
    <definedName name="Qc">'PID resolution calculator'!$B$31</definedName>
    <definedName name="Qcr">ReactionCalculation!$C$57:$M$57</definedName>
    <definedName name="Qgr">ReactionCalculation!$C$56:$M$56</definedName>
    <definedName name="QP_CM">ReactionCalculation!$C$55:$M$55</definedName>
    <definedName name="radius">parameters!$F$19</definedName>
    <definedName name="Range_option">Base!$E$57</definedName>
    <definedName name="Rbar">ReactionCalculation!$C$39:$M$39</definedName>
    <definedName name="Rbarrier">ReactionCalculation!$C$39:$M$39</definedName>
    <definedName name="Rc_">ReactionCalculation!$C$40:$M$40</definedName>
    <definedName name="re_Brho">'PID resolution calculator'!$B$15</definedName>
    <definedName name="re_Eloss">'PID resolution calculator'!$B$12</definedName>
    <definedName name="re_TKE">'PID resolution calculator'!$B$13</definedName>
    <definedName name="re_TOF">'PID resolution calculator'!$B$11</definedName>
    <definedName name="relat_PPAC_dE">parameters!$F$21</definedName>
    <definedName name="Rint">ReactionCalculation!$C$36:$M$36</definedName>
    <definedName name="Rn">ReactionCalculation!$C$37:$M$37</definedName>
    <definedName name="Ro">ReactionCalculation!$C$41:$M$41</definedName>
    <definedName name="Rp">ReactionCalculation!$C$8:$M$8</definedName>
    <definedName name="Rpcharge">ReactionCalculation!$C$13:$M$13</definedName>
    <definedName name="RRp">ReactionCalculation!$C$9:$M$9</definedName>
    <definedName name="RRt">ReactionCalculation!$C$21:$M$21</definedName>
    <definedName name="Rt">ReactionCalculation!$C$20:$M$20</definedName>
    <definedName name="Rtcharge">ReactionCalculation!$C$25:$M$25</definedName>
    <definedName name="RtRp">ReactionCalculation!$C$35:$M$35</definedName>
    <definedName name="se_Brho">'PID resolution calculator'!$D$15</definedName>
    <definedName name="se_Eloss">'PID resolution calculator'!$D$12</definedName>
    <definedName name="se_TKE">'PID resolution calculator'!$D$13</definedName>
    <definedName name="se_TOF">'PID resolution calculator'!$D$11</definedName>
    <definedName name="se_Z">'PID resolution calculator'!$D$14</definedName>
    <definedName name="SGcr">ReactionCalculation!$C$61:$M$61</definedName>
    <definedName name="SGMAR">ReactionCalculation!$C$60:$M$60</definedName>
    <definedName name="SGMgr1">ReactionCalculation!$C$62:$M$62</definedName>
    <definedName name="SGMgr2">ReactionCalculation!$C$63:$M$63</definedName>
    <definedName name="shift">parameters!$B$4</definedName>
    <definedName name="shift_calc">parameters!$F$14</definedName>
    <definedName name="shift2">parameters!$F$4</definedName>
    <definedName name="SI">ReactionCalculation!$F$2:$F$69</definedName>
    <definedName name="slope_Brho">parameters!$F$28</definedName>
    <definedName name="slopeX">parameters!$F$25</definedName>
    <definedName name="solver_adj" localSheetId="8" hidden="1">parameters!$B$15:$B$16</definedName>
    <definedName name="solver_adj" localSheetId="4" hidden="1">'PID resolution calculator'!$Y$1</definedName>
    <definedName name="solver_cvg" localSheetId="8" hidden="1">0.00001</definedName>
    <definedName name="solver_cvg" localSheetId="4" hidden="1">0.0001</definedName>
    <definedName name="solver_drv" localSheetId="8" hidden="1">2</definedName>
    <definedName name="solver_drv" localSheetId="4" hidden="1">1</definedName>
    <definedName name="solver_eng" localSheetId="4" hidden="1">1</definedName>
    <definedName name="solver_est" localSheetId="8" hidden="1">2</definedName>
    <definedName name="solver_est" localSheetId="4" hidden="1">1</definedName>
    <definedName name="solver_itr" localSheetId="8" hidden="1">9999</definedName>
    <definedName name="solver_itr" localSheetId="4" hidden="1">2147483647</definedName>
    <definedName name="solver_lin" localSheetId="8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8" hidden="1">2</definedName>
    <definedName name="solver_neg" localSheetId="4" hidden="1">1</definedName>
    <definedName name="solver_nod" localSheetId="4" hidden="1">2147483647</definedName>
    <definedName name="solver_num" localSheetId="8" hidden="1">0</definedName>
    <definedName name="solver_num" localSheetId="4" hidden="1">0</definedName>
    <definedName name="solver_nwt" localSheetId="8" hidden="1">2</definedName>
    <definedName name="solver_nwt" localSheetId="4" hidden="1">1</definedName>
    <definedName name="solver_opt" localSheetId="8" hidden="1">parameters!$D$7</definedName>
    <definedName name="solver_opt" localSheetId="4" hidden="1">'PID resolution calculator'!$B$27</definedName>
    <definedName name="solver_pre" localSheetId="8" hidden="1">0.0001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8" hidden="1">2</definedName>
    <definedName name="solver_scl" localSheetId="4" hidden="1">1</definedName>
    <definedName name="solver_sho" localSheetId="8" hidden="1">2</definedName>
    <definedName name="solver_sho" localSheetId="4" hidden="1">2</definedName>
    <definedName name="solver_ssz" localSheetId="4" hidden="1">100</definedName>
    <definedName name="solver_tim" localSheetId="8" hidden="1">9999</definedName>
    <definedName name="solver_tim" localSheetId="4" hidden="1">2147483647</definedName>
    <definedName name="solver_tol" localSheetId="8" hidden="1">0.001</definedName>
    <definedName name="solver_tol" localSheetId="4" hidden="1">0.01</definedName>
    <definedName name="solver_typ" localSheetId="8" hidden="1">2</definedName>
    <definedName name="solver_typ" localSheetId="4" hidden="1">3</definedName>
    <definedName name="solver_val" localSheetId="8" hidden="1">0</definedName>
    <definedName name="solver_val" localSheetId="4" hidden="1">2.5510204</definedName>
    <definedName name="solver_ver" localSheetId="4" hidden="1">3</definedName>
    <definedName name="stepE">work!$B$1</definedName>
    <definedName name="straggling">'PID resolution calculator'!$P$17</definedName>
    <definedName name="target">'ChargeStates -&gt; MeanValue'!$B$1</definedName>
    <definedName name="Thickness">Base!$F$8</definedName>
    <definedName name="Thickness_g">Global!$C$12</definedName>
    <definedName name="Thickness_pin">parameters!$B$11</definedName>
    <definedName name="TKE" localSheetId="4">'PID resolution calculator'!$B$21</definedName>
    <definedName name="TKE" localSheetId="5">ReactionCalculation!$C$47:$M$47</definedName>
    <definedName name="TKE">#REF!</definedName>
    <definedName name="tke_up">'PID resolution calculator'!$P$21</definedName>
    <definedName name="TOF">'PID resolution calculator'!$B$18</definedName>
    <definedName name="VC">ReactionCalculation!$C$43:$M$43</definedName>
    <definedName name="VC_Rbar">ReactionCalculation!$C$45:$M$45</definedName>
    <definedName name="VC_Rc">ReactionCalculation!$C$44:$M$44</definedName>
    <definedName name="velocity">'PID resolution calculator'!$B$26</definedName>
    <definedName name="velocity_2">'PID resolution calculator'!$AD$26</definedName>
    <definedName name="WaveLength">ReactionCalculation!$C$66:$M$66</definedName>
    <definedName name="X_dispersion">'PID resolution calculator'!$J$13</definedName>
    <definedName name="X_image_at_target">'PID resolution calculator'!$J$11</definedName>
    <definedName name="X_magnification___disp.plane">'PID resolution calculator'!$J$12</definedName>
    <definedName name="Z">'PID resolution calculator'!$B$3</definedName>
    <definedName name="Z_2">'PID resolution calculator'!$AD$3</definedName>
    <definedName name="Zc" localSheetId="4">'PID resolution calculator'!$B$30</definedName>
    <definedName name="Zc">ReactionCalculation!$C$27:$M$27</definedName>
    <definedName name="Zfragment">Base!$E$54</definedName>
    <definedName name="ZmQ">Base!$F$9</definedName>
    <definedName name="ZmQ_in_g">Global!$C$8</definedName>
    <definedName name="ZmQ_out_g">Global!$C$5</definedName>
    <definedName name="Zp">ReactionCalculation!$C$3:$M$3</definedName>
    <definedName name="Zparticle">Base!$F$3</definedName>
    <definedName name="Zparticle_g">Global!$C$7</definedName>
    <definedName name="Zt">ReactionCalculation!$C$15:$M$15</definedName>
    <definedName name="Ztarget">Base!$F$5</definedName>
    <definedName name="Ztarget_g">Global!$C$11</definedName>
  </definedNames>
  <calcPr calcId="152511"/>
</workbook>
</file>

<file path=xl/calcChain.xml><?xml version="1.0" encoding="utf-8"?>
<calcChain xmlns="http://schemas.openxmlformats.org/spreadsheetml/2006/main">
  <c r="B4" i="10" l="1"/>
  <c r="AD2" i="10" l="1"/>
  <c r="AD3" i="10"/>
  <c r="AD5" i="10"/>
  <c r="AD10" i="10" l="1"/>
  <c r="AD4" i="10"/>
  <c r="AD6" i="10"/>
  <c r="AD7" i="10" l="1"/>
  <c r="A6" i="12" l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27" i="11"/>
  <c r="A28" i="11" s="1"/>
  <c r="A29" i="11" s="1"/>
  <c r="A30" i="11" s="1"/>
  <c r="A31" i="11" s="1"/>
  <c r="A32" i="11" s="1"/>
  <c r="A33" i="11" s="1"/>
  <c r="A34" i="11" s="1"/>
  <c r="A35" i="11" s="1"/>
  <c r="C51" i="12"/>
  <c r="C43" i="12"/>
  <c r="C35" i="12"/>
  <c r="C27" i="12"/>
  <c r="C19" i="12"/>
  <c r="C11" i="12"/>
  <c r="C34" i="12"/>
  <c r="C18" i="12"/>
  <c r="C37" i="12"/>
  <c r="C13" i="12"/>
  <c r="C28" i="12"/>
  <c r="C50" i="12"/>
  <c r="C42" i="12"/>
  <c r="C26" i="12"/>
  <c r="C10" i="12"/>
  <c r="C21" i="12"/>
  <c r="C36" i="12"/>
  <c r="C12" i="12"/>
  <c r="C49" i="12"/>
  <c r="C41" i="12"/>
  <c r="C33" i="12"/>
  <c r="C25" i="12"/>
  <c r="C17" i="12"/>
  <c r="C9" i="12"/>
  <c r="C48" i="12"/>
  <c r="C40" i="12"/>
  <c r="C32" i="12"/>
  <c r="C24" i="12"/>
  <c r="C16" i="12"/>
  <c r="C8" i="12"/>
  <c r="C47" i="12"/>
  <c r="C39" i="12"/>
  <c r="C31" i="12"/>
  <c r="C23" i="12"/>
  <c r="C15" i="12"/>
  <c r="C7" i="12"/>
  <c r="C46" i="12"/>
  <c r="C38" i="12"/>
  <c r="C30" i="12"/>
  <c r="C22" i="12"/>
  <c r="C14" i="12"/>
  <c r="C6" i="12"/>
  <c r="C45" i="12"/>
  <c r="C29" i="12"/>
  <c r="C44" i="12"/>
  <c r="C20" i="12"/>
  <c r="C5" i="12"/>
  <c r="B51" i="12"/>
  <c r="B43" i="12"/>
  <c r="B35" i="12"/>
  <c r="B27" i="12"/>
  <c r="B19" i="12"/>
  <c r="B11" i="12"/>
  <c r="B42" i="12"/>
  <c r="B34" i="12"/>
  <c r="B26" i="12"/>
  <c r="B10" i="12"/>
  <c r="B48" i="12"/>
  <c r="B24" i="12"/>
  <c r="B47" i="12"/>
  <c r="B23" i="12"/>
  <c r="B38" i="12"/>
  <c r="B6" i="12"/>
  <c r="B50" i="12"/>
  <c r="B18" i="12"/>
  <c r="B40" i="12"/>
  <c r="B16" i="12"/>
  <c r="B39" i="12"/>
  <c r="B7" i="12"/>
  <c r="B22" i="12"/>
  <c r="B49" i="12"/>
  <c r="B41" i="12"/>
  <c r="B33" i="12"/>
  <c r="B25" i="12"/>
  <c r="B17" i="12"/>
  <c r="B9" i="12"/>
  <c r="B32" i="12"/>
  <c r="B8" i="12"/>
  <c r="B31" i="12"/>
  <c r="B15" i="12"/>
  <c r="B30" i="12"/>
  <c r="B45" i="12"/>
  <c r="B37" i="12"/>
  <c r="B29" i="12"/>
  <c r="B21" i="12"/>
  <c r="B13" i="12"/>
  <c r="B44" i="12"/>
  <c r="B36" i="12"/>
  <c r="B28" i="12"/>
  <c r="B20" i="12"/>
  <c r="B12" i="12"/>
  <c r="B46" i="12"/>
  <c r="B14" i="12"/>
  <c r="B5" i="12"/>
  <c r="E46" i="2"/>
  <c r="A3" i="11" l="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C1" i="11" s="1"/>
  <c r="C2" i="11" s="1"/>
  <c r="C3" i="11" s="1"/>
  <c r="C4" i="11" s="1"/>
  <c r="C5" i="11" s="1"/>
  <c r="C6" i="11" s="1"/>
  <c r="C7" i="11" s="1"/>
  <c r="C8" i="11" s="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A2" i="11"/>
  <c r="J15" i="10"/>
  <c r="B15" i="10" s="1"/>
  <c r="E19" i="10" s="1"/>
  <c r="E21" i="10"/>
  <c r="P34" i="10" s="1"/>
  <c r="B30" i="10"/>
  <c r="K30" i="10"/>
  <c r="E27" i="2"/>
  <c r="G3" i="2"/>
  <c r="E30" i="2"/>
  <c r="E31" i="2"/>
  <c r="E29" i="2"/>
  <c r="E28" i="2"/>
  <c r="I5" i="10"/>
  <c r="B24" i="10"/>
  <c r="B25" i="10"/>
  <c r="B6" i="10"/>
  <c r="B19" i="10"/>
  <c r="AD8" i="10" s="1"/>
  <c r="B5" i="10"/>
  <c r="AD26" i="10" l="1"/>
  <c r="AD18" i="10"/>
  <c r="B27" i="10"/>
  <c r="L39" i="10" s="1"/>
  <c r="B18" i="10"/>
  <c r="D18" i="10" s="1"/>
  <c r="E18" i="10" s="1"/>
  <c r="AG25" i="10" s="1"/>
  <c r="P44" i="10"/>
  <c r="I31" i="10" s="1"/>
  <c r="D19" i="10"/>
  <c r="P18" i="10" s="1"/>
  <c r="B21" i="10"/>
  <c r="B7" i="10"/>
  <c r="B26" i="10"/>
  <c r="R20" i="10"/>
  <c r="R27" i="10" s="1"/>
  <c r="I32" i="10"/>
  <c r="A10" i="9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5" i="9"/>
  <c r="A6" i="9" s="1"/>
  <c r="A7" i="9" s="1"/>
  <c r="A8" i="9" s="1"/>
  <c r="A9" i="9" s="1"/>
  <c r="A4" i="9"/>
  <c r="A3" i="9"/>
  <c r="F28" i="8"/>
  <c r="F17" i="8"/>
  <c r="F14" i="8"/>
  <c r="F4" i="8" s="1"/>
  <c r="M19" i="5"/>
  <c r="M20" i="5" s="1"/>
  <c r="M7" i="5"/>
  <c r="M9" i="5" s="1"/>
  <c r="M11" i="5" s="1"/>
  <c r="L19" i="5"/>
  <c r="L24" i="5" s="1"/>
  <c r="L7" i="5"/>
  <c r="K19" i="5"/>
  <c r="K20" i="5" s="1"/>
  <c r="K7" i="5"/>
  <c r="K8" i="5" s="1"/>
  <c r="K10" i="5" s="1"/>
  <c r="J19" i="5"/>
  <c r="J25" i="5" s="1"/>
  <c r="J7" i="5"/>
  <c r="J13" i="5" s="1"/>
  <c r="I19" i="5"/>
  <c r="I20" i="5" s="1"/>
  <c r="I7" i="5"/>
  <c r="I9" i="5" s="1"/>
  <c r="I11" i="5" s="1"/>
  <c r="H19" i="5"/>
  <c r="H7" i="5"/>
  <c r="G19" i="5"/>
  <c r="G20" i="5" s="1"/>
  <c r="G7" i="5"/>
  <c r="G8" i="5" s="1"/>
  <c r="G10" i="5" s="1"/>
  <c r="K34" i="5"/>
  <c r="J46" i="5"/>
  <c r="G46" i="5"/>
  <c r="M21" i="5"/>
  <c r="M23" i="5" s="1"/>
  <c r="K9" i="5"/>
  <c r="K11" i="5" s="1"/>
  <c r="I21" i="5"/>
  <c r="I23" i="5" s="1"/>
  <c r="M32" i="5"/>
  <c r="L32" i="5"/>
  <c r="K32" i="5"/>
  <c r="J32" i="5"/>
  <c r="I32" i="5"/>
  <c r="H32" i="5"/>
  <c r="G32" i="5"/>
  <c r="M27" i="5"/>
  <c r="M46" i="5" s="1"/>
  <c r="L27" i="5"/>
  <c r="L46" i="5" s="1"/>
  <c r="K27" i="5"/>
  <c r="J27" i="5"/>
  <c r="I27" i="5"/>
  <c r="I46" i="5" s="1"/>
  <c r="H27" i="5"/>
  <c r="H46" i="5" s="1"/>
  <c r="G27" i="5"/>
  <c r="M26" i="5"/>
  <c r="M33" i="5" s="1"/>
  <c r="L26" i="5"/>
  <c r="L33" i="5" s="1"/>
  <c r="K26" i="5"/>
  <c r="K46" i="5" s="1"/>
  <c r="J26" i="5"/>
  <c r="J33" i="5" s="1"/>
  <c r="J47" i="5" s="1"/>
  <c r="I26" i="5"/>
  <c r="I33" i="5" s="1"/>
  <c r="H26" i="5"/>
  <c r="H33" i="5" s="1"/>
  <c r="H47" i="5" s="1"/>
  <c r="G26" i="5"/>
  <c r="G33" i="5" s="1"/>
  <c r="G47" i="5" s="1"/>
  <c r="M25" i="5"/>
  <c r="K25" i="5"/>
  <c r="I25" i="5"/>
  <c r="G25" i="5"/>
  <c r="M24" i="5"/>
  <c r="I24" i="5"/>
  <c r="L13" i="5"/>
  <c r="I13" i="5"/>
  <c r="L12" i="5"/>
  <c r="G12" i="5"/>
  <c r="A41" i="4"/>
  <c r="A40" i="4"/>
  <c r="A7" i="4"/>
  <c r="C27" i="3"/>
  <c r="C28" i="3" s="1"/>
  <c r="C29" i="3" s="1"/>
  <c r="C30" i="3" s="1"/>
  <c r="C31" i="3" s="1"/>
  <c r="C26" i="3"/>
  <c r="L16" i="5"/>
  <c r="K29" i="5"/>
  <c r="D53" i="4"/>
  <c r="F53" i="4"/>
  <c r="D43" i="4"/>
  <c r="C42" i="4"/>
  <c r="B41" i="4"/>
  <c r="K4" i="5"/>
  <c r="D48" i="4"/>
  <c r="H29" i="5"/>
  <c r="J28" i="5"/>
  <c r="D40" i="4"/>
  <c r="F50" i="4"/>
  <c r="M5" i="5"/>
  <c r="C39" i="4"/>
  <c r="D36" i="4"/>
  <c r="C40" i="4"/>
  <c r="D50" i="4"/>
  <c r="E39" i="4"/>
  <c r="L29" i="5"/>
  <c r="E42" i="4"/>
  <c r="F37" i="4"/>
  <c r="E53" i="4"/>
  <c r="D45" i="4"/>
  <c r="D52" i="4"/>
  <c r="F47" i="4"/>
  <c r="B50" i="4"/>
  <c r="F40" i="4"/>
  <c r="B45" i="4"/>
  <c r="D30" i="3"/>
  <c r="D47" i="4"/>
  <c r="D26" i="3"/>
  <c r="J5" i="5"/>
  <c r="B42" i="4"/>
  <c r="E47" i="4"/>
  <c r="C48" i="4"/>
  <c r="L28" i="5"/>
  <c r="H28" i="5"/>
  <c r="D51" i="4"/>
  <c r="E37" i="4"/>
  <c r="F51" i="4"/>
  <c r="E38" i="4"/>
  <c r="K5" i="5"/>
  <c r="E51" i="4"/>
  <c r="D29" i="3"/>
  <c r="G4" i="5"/>
  <c r="D39" i="4"/>
  <c r="I16" i="5"/>
  <c r="G29" i="5"/>
  <c r="F42" i="4"/>
  <c r="E50" i="4"/>
  <c r="M17" i="5"/>
  <c r="E40" i="4"/>
  <c r="G28" i="5"/>
  <c r="C6" i="4"/>
  <c r="D6" i="4"/>
  <c r="D46" i="4"/>
  <c r="F48" i="4"/>
  <c r="C49" i="4"/>
  <c r="C41" i="4"/>
  <c r="B44" i="4"/>
  <c r="C51" i="4"/>
  <c r="B37" i="4"/>
  <c r="B53" i="4"/>
  <c r="B47" i="4"/>
  <c r="E41" i="4"/>
  <c r="E44" i="4"/>
  <c r="C44" i="4"/>
  <c r="E46" i="4"/>
  <c r="E6" i="4"/>
  <c r="D22" i="3"/>
  <c r="B39" i="4"/>
  <c r="F52" i="4"/>
  <c r="C43" i="4"/>
  <c r="F39" i="4"/>
  <c r="E49" i="4"/>
  <c r="H17" i="5"/>
  <c r="B52" i="4"/>
  <c r="D25" i="3"/>
  <c r="E48" i="4"/>
  <c r="F46" i="4"/>
  <c r="F7" i="4"/>
  <c r="D23" i="3"/>
  <c r="B48" i="4"/>
  <c r="F45" i="4"/>
  <c r="H5" i="5"/>
  <c r="B40" i="4"/>
  <c r="D27" i="3"/>
  <c r="D24" i="3"/>
  <c r="I5" i="5"/>
  <c r="I4" i="5"/>
  <c r="D37" i="4"/>
  <c r="C37" i="4"/>
  <c r="M16" i="5"/>
  <c r="C46" i="4"/>
  <c r="G5" i="5"/>
  <c r="K28" i="5"/>
  <c r="M4" i="5"/>
  <c r="C38" i="4"/>
  <c r="K17" i="5"/>
  <c r="J16" i="5"/>
  <c r="G17" i="5"/>
  <c r="J17" i="5"/>
  <c r="E43" i="4"/>
  <c r="K16" i="5"/>
  <c r="I17" i="5"/>
  <c r="B38" i="4"/>
  <c r="C7" i="4"/>
  <c r="B43" i="4"/>
  <c r="J4" i="5"/>
  <c r="C52" i="4"/>
  <c r="C36" i="4"/>
  <c r="L5" i="5"/>
  <c r="C47" i="4"/>
  <c r="F6" i="4"/>
  <c r="L17" i="5"/>
  <c r="B36" i="4"/>
  <c r="F38" i="4"/>
  <c r="J29" i="5"/>
  <c r="D28" i="3"/>
  <c r="B46" i="4"/>
  <c r="I28" i="5"/>
  <c r="F41" i="4"/>
  <c r="D41" i="4"/>
  <c r="D42" i="4"/>
  <c r="D32" i="3"/>
  <c r="L4" i="5"/>
  <c r="D21" i="3"/>
  <c r="D44" i="4"/>
  <c r="I29" i="5"/>
  <c r="E36" i="4"/>
  <c r="C50" i="4"/>
  <c r="B51" i="4"/>
  <c r="D31" i="3"/>
  <c r="F43" i="4"/>
  <c r="B6" i="4"/>
  <c r="D38" i="4"/>
  <c r="M29" i="5"/>
  <c r="F36" i="4"/>
  <c r="B49" i="4"/>
  <c r="M28" i="5"/>
  <c r="C53" i="4"/>
  <c r="E45" i="4"/>
  <c r="C45" i="4"/>
  <c r="F44" i="4"/>
  <c r="G16" i="5"/>
  <c r="D49" i="4"/>
  <c r="C15" i="3"/>
  <c r="H16" i="5"/>
  <c r="E52" i="4"/>
  <c r="F49" i="4"/>
  <c r="H4" i="5"/>
  <c r="E26" i="2"/>
  <c r="E15" i="2"/>
  <c r="E22" i="2"/>
  <c r="E17" i="2"/>
  <c r="E44" i="2"/>
  <c r="E21" i="2"/>
  <c r="E49" i="2"/>
  <c r="E23" i="2"/>
  <c r="E48" i="2"/>
  <c r="E24" i="2"/>
  <c r="E19" i="2"/>
  <c r="E47" i="2"/>
  <c r="G5" i="2"/>
  <c r="E16" i="2"/>
  <c r="E18" i="2"/>
  <c r="E20" i="2"/>
  <c r="E25" i="2"/>
  <c r="E51" i="2"/>
  <c r="E33" i="2"/>
  <c r="E50" i="2"/>
  <c r="E45" i="2"/>
  <c r="E37" i="2"/>
  <c r="E39" i="2"/>
  <c r="E40" i="2"/>
  <c r="E41" i="2" s="1"/>
  <c r="E32" i="2"/>
  <c r="E34" i="2"/>
  <c r="E38" i="2"/>
  <c r="E42" i="2"/>
  <c r="P17" i="10"/>
  <c r="AD24" i="10"/>
  <c r="AD25" i="10" s="1"/>
  <c r="B20" i="10"/>
  <c r="U18" i="10" l="1"/>
  <c r="AD27" i="10"/>
  <c r="B28" i="10" s="1"/>
  <c r="AF24" i="10"/>
  <c r="AF25" i="10"/>
  <c r="S24" i="10"/>
  <c r="S26" i="10" s="1"/>
  <c r="G27" i="10" s="1"/>
  <c r="G34" i="10" s="1"/>
  <c r="S10" i="10"/>
  <c r="AG24" i="10"/>
  <c r="D12" i="10"/>
  <c r="E20" i="10" s="1"/>
  <c r="R30" i="10" s="1"/>
  <c r="U28" i="10" s="1"/>
  <c r="B36" i="10"/>
  <c r="R42" i="10"/>
  <c r="B35" i="10"/>
  <c r="B31" i="10"/>
  <c r="B34" i="10" s="1"/>
  <c r="V46" i="10"/>
  <c r="V42" i="10"/>
  <c r="K12" i="5"/>
  <c r="M13" i="5"/>
  <c r="G9" i="5"/>
  <c r="G11" i="5" s="1"/>
  <c r="R29" i="10"/>
  <c r="D24" i="10"/>
  <c r="E24" i="10"/>
  <c r="E26" i="10"/>
  <c r="D26" i="10" s="1"/>
  <c r="B33" i="10"/>
  <c r="B37" i="10"/>
  <c r="B32" i="10"/>
  <c r="D21" i="10"/>
  <c r="P21" i="10" s="1"/>
  <c r="A8" i="4"/>
  <c r="L47" i="5"/>
  <c r="K40" i="5"/>
  <c r="K44" i="5" s="1"/>
  <c r="K37" i="5"/>
  <c r="H20" i="5"/>
  <c r="H24" i="5"/>
  <c r="H21" i="5"/>
  <c r="H23" i="5" s="1"/>
  <c r="J20" i="5"/>
  <c r="J34" i="5"/>
  <c r="L20" i="5"/>
  <c r="L21" i="5"/>
  <c r="L23" i="5" s="1"/>
  <c r="J24" i="5"/>
  <c r="J21" i="5"/>
  <c r="J23" i="5" s="1"/>
  <c r="K33" i="5"/>
  <c r="K47" i="5" s="1"/>
  <c r="I47" i="5"/>
  <c r="M47" i="5"/>
  <c r="H8" i="5"/>
  <c r="H10" i="5" s="1"/>
  <c r="H12" i="5"/>
  <c r="H9" i="5"/>
  <c r="H11" i="5" s="1"/>
  <c r="H38" i="5" s="1"/>
  <c r="H13" i="5"/>
  <c r="L8" i="5"/>
  <c r="L10" i="5" s="1"/>
  <c r="L9" i="5"/>
  <c r="L11" i="5" s="1"/>
  <c r="L38" i="5" s="1"/>
  <c r="M38" i="5"/>
  <c r="B4" i="8"/>
  <c r="G34" i="5"/>
  <c r="G22" i="5"/>
  <c r="G35" i="5"/>
  <c r="I22" i="5"/>
  <c r="M22" i="5"/>
  <c r="H22" i="5"/>
  <c r="J22" i="5"/>
  <c r="K22" i="5"/>
  <c r="K35" i="5"/>
  <c r="I38" i="5"/>
  <c r="J12" i="5"/>
  <c r="G13" i="5"/>
  <c r="K13" i="5"/>
  <c r="J9" i="5"/>
  <c r="J11" i="5" s="1"/>
  <c r="J38" i="5" s="1"/>
  <c r="I34" i="5"/>
  <c r="M34" i="5"/>
  <c r="I8" i="5"/>
  <c r="I10" i="5" s="1"/>
  <c r="J8" i="5"/>
  <c r="J10" i="5" s="1"/>
  <c r="M8" i="5"/>
  <c r="M10" i="5" s="1"/>
  <c r="I12" i="5"/>
  <c r="M12" i="5"/>
  <c r="G24" i="5"/>
  <c r="K24" i="5"/>
  <c r="H25" i="5"/>
  <c r="L25" i="5"/>
  <c r="G21" i="5"/>
  <c r="G23" i="5" s="1"/>
  <c r="G38" i="5" s="1"/>
  <c r="K21" i="5"/>
  <c r="K23" i="5" s="1"/>
  <c r="K38" i="5" s="1"/>
  <c r="H34" i="5"/>
  <c r="L34" i="5"/>
  <c r="I1" i="5"/>
  <c r="J30" i="5"/>
  <c r="G48" i="5"/>
  <c r="G66" i="5" s="1"/>
  <c r="G6" i="5"/>
  <c r="H18" i="5"/>
  <c r="H1" i="5"/>
  <c r="H48" i="5"/>
  <c r="H66" i="5" s="1"/>
  <c r="H6" i="5"/>
  <c r="I18" i="5"/>
  <c r="L48" i="5"/>
  <c r="L66" i="5" s="1"/>
  <c r="L6" i="5"/>
  <c r="J1" i="5"/>
  <c r="G18" i="5"/>
  <c r="J6" i="5"/>
  <c r="J48" i="5"/>
  <c r="J66" i="5" s="1"/>
  <c r="K18" i="5"/>
  <c r="M1" i="5"/>
  <c r="H30" i="5"/>
  <c r="L30" i="5"/>
  <c r="K48" i="5"/>
  <c r="K66" i="5" s="1"/>
  <c r="K6" i="5"/>
  <c r="L18" i="5"/>
  <c r="D33" i="3"/>
  <c r="L1" i="5"/>
  <c r="M18" i="5"/>
  <c r="G1" i="5"/>
  <c r="K1" i="5"/>
  <c r="G30" i="5"/>
  <c r="I30" i="5"/>
  <c r="K30" i="5"/>
  <c r="M30" i="5"/>
  <c r="I6" i="5"/>
  <c r="I48" i="5"/>
  <c r="I66" i="5" s="1"/>
  <c r="J18" i="5"/>
  <c r="M6" i="5"/>
  <c r="M48" i="5"/>
  <c r="M66" i="5" s="1"/>
  <c r="D7" i="4"/>
  <c r="E7" i="4"/>
  <c r="B7" i="4"/>
  <c r="E35" i="2"/>
  <c r="E43" i="2"/>
  <c r="E36" i="2"/>
  <c r="P16" i="10"/>
  <c r="P19" i="10" l="1"/>
  <c r="S20" i="10" s="1"/>
  <c r="R28" i="10" s="1"/>
  <c r="T28" i="10" s="1"/>
  <c r="S12" i="10"/>
  <c r="G28" i="10" s="1"/>
  <c r="B39" i="10"/>
  <c r="B38" i="10"/>
  <c r="V20" i="10"/>
  <c r="U20" i="10"/>
  <c r="D20" i="10"/>
  <c r="T46" i="10"/>
  <c r="T48" i="10" s="1"/>
  <c r="T42" i="10"/>
  <c r="T44" i="10" s="1"/>
  <c r="V48" i="10"/>
  <c r="G36" i="10" s="1"/>
  <c r="L35" i="5"/>
  <c r="H35" i="5"/>
  <c r="R44" i="10"/>
  <c r="G31" i="10" s="1"/>
  <c r="V44" i="10"/>
  <c r="G35" i="10" s="1"/>
  <c r="S28" i="10"/>
  <c r="T30" i="10" s="1"/>
  <c r="J30" i="10" s="1"/>
  <c r="G53" i="5"/>
  <c r="G50" i="5"/>
  <c r="J50" i="5"/>
  <c r="J62" i="5" s="1"/>
  <c r="G52" i="5"/>
  <c r="L22" i="5"/>
  <c r="I35" i="5"/>
  <c r="J53" i="5"/>
  <c r="J52" i="5"/>
  <c r="G40" i="5"/>
  <c r="G44" i="5" s="1"/>
  <c r="G37" i="5"/>
  <c r="J40" i="5"/>
  <c r="J44" i="5" s="1"/>
  <c r="J37" i="5"/>
  <c r="M52" i="5"/>
  <c r="M50" i="5"/>
  <c r="M62" i="5" s="1"/>
  <c r="J35" i="5"/>
  <c r="M35" i="5"/>
  <c r="A9" i="4"/>
  <c r="I37" i="5"/>
  <c r="I40" i="5"/>
  <c r="I44" i="5" s="1"/>
  <c r="M37" i="5"/>
  <c r="M40" i="5"/>
  <c r="M44" i="5" s="1"/>
  <c r="L36" i="5"/>
  <c r="L42" i="5"/>
  <c r="J36" i="5"/>
  <c r="J42" i="5"/>
  <c r="M36" i="5"/>
  <c r="M42" i="5"/>
  <c r="G42" i="5"/>
  <c r="G36" i="5"/>
  <c r="H40" i="5"/>
  <c r="H44" i="5" s="1"/>
  <c r="H37" i="5"/>
  <c r="K42" i="5"/>
  <c r="K36" i="5"/>
  <c r="L40" i="5"/>
  <c r="L44" i="5" s="1"/>
  <c r="L37" i="5"/>
  <c r="H36" i="5"/>
  <c r="H42" i="5"/>
  <c r="I36" i="5"/>
  <c r="I42" i="5"/>
  <c r="I52" i="5"/>
  <c r="L53" i="5"/>
  <c r="J31" i="5"/>
  <c r="L50" i="5"/>
  <c r="I50" i="5"/>
  <c r="H68" i="5"/>
  <c r="H67" i="5"/>
  <c r="J68" i="5"/>
  <c r="J67" i="5"/>
  <c r="G68" i="5"/>
  <c r="G67" i="5"/>
  <c r="K31" i="5"/>
  <c r="H53" i="5"/>
  <c r="I31" i="5"/>
  <c r="H52" i="5"/>
  <c r="H50" i="5"/>
  <c r="L68" i="5"/>
  <c r="L67" i="5"/>
  <c r="K68" i="5"/>
  <c r="K67" i="5"/>
  <c r="M67" i="5"/>
  <c r="M68" i="5"/>
  <c r="I67" i="5"/>
  <c r="I68" i="5"/>
  <c r="M53" i="5"/>
  <c r="L31" i="5"/>
  <c r="K50" i="5"/>
  <c r="G31" i="5"/>
  <c r="M31" i="5"/>
  <c r="K52" i="5"/>
  <c r="K53" i="5"/>
  <c r="L52" i="5"/>
  <c r="I53" i="5"/>
  <c r="H31" i="5"/>
  <c r="D8" i="4"/>
  <c r="B8" i="4"/>
  <c r="E8" i="4"/>
  <c r="F8" i="4"/>
  <c r="C8" i="4"/>
  <c r="P15" i="10"/>
  <c r="Q15" i="10" l="1"/>
  <c r="D25" i="10" s="1"/>
  <c r="E25" i="10" s="1"/>
  <c r="V18" i="10"/>
  <c r="T10" i="10"/>
  <c r="M51" i="5"/>
  <c r="J54" i="5"/>
  <c r="J57" i="5" s="1"/>
  <c r="S30" i="10"/>
  <c r="U30" i="10" s="1"/>
  <c r="E30" i="10" s="1"/>
  <c r="D30" i="10" s="1"/>
  <c r="R46" i="10" s="1"/>
  <c r="R48" i="10" s="1"/>
  <c r="M37" i="10" s="1"/>
  <c r="I35" i="10"/>
  <c r="I36" i="10"/>
  <c r="G54" i="5"/>
  <c r="G58" i="5" s="1"/>
  <c r="G61" i="5" s="1"/>
  <c r="G51" i="5"/>
  <c r="L51" i="5"/>
  <c r="I54" i="5"/>
  <c r="I57" i="5" s="1"/>
  <c r="J51" i="5"/>
  <c r="A10" i="4"/>
  <c r="M54" i="5"/>
  <c r="M58" i="5" s="1"/>
  <c r="M61" i="5" s="1"/>
  <c r="G62" i="5"/>
  <c r="M39" i="5"/>
  <c r="M45" i="5" s="1"/>
  <c r="M43" i="5"/>
  <c r="M63" i="5" s="1"/>
  <c r="M41" i="5"/>
  <c r="L43" i="5"/>
  <c r="L55" i="5" s="1"/>
  <c r="L59" i="5" s="1"/>
  <c r="L39" i="5"/>
  <c r="L45" i="5" s="1"/>
  <c r="L41" i="5"/>
  <c r="J41" i="5"/>
  <c r="J43" i="5"/>
  <c r="J39" i="5"/>
  <c r="J45" i="5" s="1"/>
  <c r="I62" i="5"/>
  <c r="K39" i="5"/>
  <c r="K45" i="5" s="1"/>
  <c r="K41" i="5"/>
  <c r="K43" i="5"/>
  <c r="K63" i="5" s="1"/>
  <c r="I41" i="5"/>
  <c r="I39" i="5"/>
  <c r="I45" i="5" s="1"/>
  <c r="I43" i="5"/>
  <c r="I63" i="5" s="1"/>
  <c r="H43" i="5"/>
  <c r="H55" i="5" s="1"/>
  <c r="H59" i="5" s="1"/>
  <c r="H60" i="5" s="1"/>
  <c r="H39" i="5"/>
  <c r="H45" i="5" s="1"/>
  <c r="H41" i="5"/>
  <c r="G39" i="5"/>
  <c r="G45" i="5" s="1"/>
  <c r="G41" i="5"/>
  <c r="G43" i="5"/>
  <c r="I51" i="5"/>
  <c r="L62" i="5"/>
  <c r="L54" i="5"/>
  <c r="K51" i="5"/>
  <c r="K62" i="5"/>
  <c r="K55" i="5"/>
  <c r="K59" i="5" s="1"/>
  <c r="K60" i="5" s="1"/>
  <c r="H63" i="5"/>
  <c r="H51" i="5"/>
  <c r="H62" i="5"/>
  <c r="I55" i="5"/>
  <c r="I59" i="5" s="1"/>
  <c r="K54" i="5"/>
  <c r="K58" i="5" s="1"/>
  <c r="K61" i="5" s="1"/>
  <c r="H54" i="5"/>
  <c r="H58" i="5" s="1"/>
  <c r="H61" i="5" s="1"/>
  <c r="M55" i="5"/>
  <c r="M59" i="5" s="1"/>
  <c r="B9" i="4"/>
  <c r="D9" i="4"/>
  <c r="C9" i="4"/>
  <c r="F9" i="4"/>
  <c r="E9" i="4"/>
  <c r="P20" i="10" l="1"/>
  <c r="Q42" i="10" s="1"/>
  <c r="Q44" i="10" s="1"/>
  <c r="H31" i="10" s="1"/>
  <c r="T12" i="10"/>
  <c r="H30" i="10"/>
  <c r="J58" i="5"/>
  <c r="J61" i="5" s="1"/>
  <c r="G57" i="5"/>
  <c r="I58" i="5"/>
  <c r="I61" i="5" s="1"/>
  <c r="M57" i="5"/>
  <c r="L63" i="5"/>
  <c r="A11" i="4"/>
  <c r="G55" i="5"/>
  <c r="G63" i="5"/>
  <c r="J63" i="5"/>
  <c r="J55" i="5"/>
  <c r="L60" i="5"/>
  <c r="L56" i="5"/>
  <c r="L69" i="5" s="1"/>
  <c r="M60" i="5"/>
  <c r="M56" i="5"/>
  <c r="M69" i="5" s="1"/>
  <c r="K64" i="5"/>
  <c r="K65" i="5" s="1"/>
  <c r="K57" i="5"/>
  <c r="I60" i="5"/>
  <c r="I56" i="5"/>
  <c r="I69" i="5" s="1"/>
  <c r="M64" i="5"/>
  <c r="M65" i="5" s="1"/>
  <c r="I64" i="5"/>
  <c r="I65" i="5" s="1"/>
  <c r="L57" i="5"/>
  <c r="L64" i="5"/>
  <c r="L65" i="5" s="1"/>
  <c r="L58" i="5"/>
  <c r="L61" i="5" s="1"/>
  <c r="H57" i="5"/>
  <c r="H64" i="5"/>
  <c r="H65" i="5" s="1"/>
  <c r="H56" i="5"/>
  <c r="H69" i="5" s="1"/>
  <c r="K56" i="5"/>
  <c r="K69" i="5" s="1"/>
  <c r="E10" i="4"/>
  <c r="D10" i="4"/>
  <c r="B10" i="4"/>
  <c r="C10" i="4"/>
  <c r="F10" i="4"/>
  <c r="U46" i="10" l="1"/>
  <c r="U48" i="10" s="1"/>
  <c r="Q32" i="10"/>
  <c r="Q34" i="10" s="1"/>
  <c r="U42" i="10"/>
  <c r="U44" i="10" s="1"/>
  <c r="T24" i="10"/>
  <c r="T26" i="10" s="1"/>
  <c r="H27" i="10" s="1"/>
  <c r="H34" i="10" s="1"/>
  <c r="S44" i="10"/>
  <c r="E31" i="10" s="1"/>
  <c r="D31" i="10" s="1"/>
  <c r="R36" i="10" s="1"/>
  <c r="R40" i="10" s="1"/>
  <c r="I34" i="10" s="1"/>
  <c r="U12" i="10"/>
  <c r="AG27" i="10" s="1"/>
  <c r="AF27" i="10" s="1"/>
  <c r="H28" i="10"/>
  <c r="A12" i="4"/>
  <c r="G59" i="5"/>
  <c r="G64" i="5"/>
  <c r="G65" i="5" s="1"/>
  <c r="J59" i="5"/>
  <c r="J64" i="5"/>
  <c r="J65" i="5" s="1"/>
  <c r="F11" i="4"/>
  <c r="C11" i="4"/>
  <c r="E11" i="4"/>
  <c r="D11" i="4"/>
  <c r="B11" i="4"/>
  <c r="U26" i="10" l="1"/>
  <c r="E27" i="10" s="1"/>
  <c r="D27" i="10" s="1"/>
  <c r="Q36" i="10" s="1"/>
  <c r="Q40" i="10" s="1"/>
  <c r="S40" i="10" s="1"/>
  <c r="E34" i="10" s="1"/>
  <c r="D34" i="10" s="1"/>
  <c r="H35" i="10"/>
  <c r="W44" i="10"/>
  <c r="D35" i="10" s="1"/>
  <c r="H36" i="10"/>
  <c r="W48" i="10"/>
  <c r="D36" i="10" s="1"/>
  <c r="R34" i="10"/>
  <c r="E32" i="10" s="1"/>
  <c r="D32" i="10" s="1"/>
  <c r="H32" i="10"/>
  <c r="T38" i="10"/>
  <c r="S38" i="10"/>
  <c r="S39" i="10"/>
  <c r="T39" i="10"/>
  <c r="E28" i="10"/>
  <c r="A13" i="4"/>
  <c r="G60" i="5"/>
  <c r="G56" i="5"/>
  <c r="G69" i="5" s="1"/>
  <c r="J56" i="5"/>
  <c r="J69" i="5" s="1"/>
  <c r="J60" i="5"/>
  <c r="B12" i="4"/>
  <c r="D12" i="4"/>
  <c r="F12" i="4"/>
  <c r="C12" i="4"/>
  <c r="E12" i="4"/>
  <c r="E33" i="10" l="1"/>
  <c r="D33" i="10" s="1"/>
  <c r="T32" i="10"/>
  <c r="T34" i="10" s="1"/>
  <c r="Q46" i="10"/>
  <c r="Q48" i="10" s="1"/>
  <c r="P24" i="10"/>
  <c r="O24" i="10"/>
  <c r="W39" i="10"/>
  <c r="W38" i="10"/>
  <c r="V39" i="10"/>
  <c r="V38" i="10"/>
  <c r="O25" i="10"/>
  <c r="P25" i="10"/>
  <c r="D28" i="10"/>
  <c r="A14" i="4"/>
  <c r="B13" i="4"/>
  <c r="D13" i="4"/>
  <c r="C13" i="4"/>
  <c r="E13" i="4"/>
  <c r="F13" i="4"/>
  <c r="L33" i="10" l="1"/>
  <c r="U34" i="10"/>
  <c r="Q39" i="10"/>
  <c r="G39" i="10" s="1"/>
  <c r="R39" i="10"/>
  <c r="H39" i="10" s="1"/>
  <c r="S48" i="10"/>
  <c r="D37" i="10" s="1"/>
  <c r="L37" i="10"/>
  <c r="P26" i="10"/>
  <c r="O26" i="10"/>
  <c r="A15" i="4"/>
  <c r="E14" i="4"/>
  <c r="B14" i="4"/>
  <c r="D14" i="4"/>
  <c r="C14" i="4"/>
  <c r="F14" i="4"/>
  <c r="E39" i="10" l="1"/>
  <c r="D39" i="10" s="1"/>
  <c r="O13" i="10"/>
  <c r="Q38" i="10"/>
  <c r="P13" i="10"/>
  <c r="R38" i="10"/>
  <c r="H38" i="10" s="1"/>
  <c r="G38" i="10"/>
  <c r="A16" i="4"/>
  <c r="D15" i="4"/>
  <c r="F15" i="4"/>
  <c r="E15" i="4"/>
  <c r="B15" i="4"/>
  <c r="C15" i="4"/>
  <c r="Q13" i="10" l="1"/>
  <c r="E38" i="10"/>
  <c r="D38" i="10" s="1"/>
  <c r="A17" i="4"/>
  <c r="B16" i="4"/>
  <c r="C16" i="4"/>
  <c r="E16" i="4"/>
  <c r="F16" i="4"/>
  <c r="D16" i="4"/>
  <c r="A18" i="4" l="1"/>
  <c r="B17" i="4"/>
  <c r="E17" i="4"/>
  <c r="C17" i="4"/>
  <c r="D17" i="4"/>
  <c r="F17" i="4"/>
  <c r="A19" i="4" l="1"/>
  <c r="E18" i="4"/>
  <c r="F18" i="4"/>
  <c r="D18" i="4"/>
  <c r="B18" i="4"/>
  <c r="C18" i="4"/>
  <c r="A20" i="4" l="1"/>
  <c r="E19" i="4"/>
  <c r="F19" i="4"/>
  <c r="D19" i="4"/>
  <c r="B19" i="4"/>
  <c r="C19" i="4"/>
  <c r="A21" i="4" l="1"/>
  <c r="C20" i="4"/>
  <c r="F20" i="4"/>
  <c r="D20" i="4"/>
  <c r="E20" i="4"/>
  <c r="B20" i="4"/>
  <c r="A22" i="4" l="1"/>
  <c r="F21" i="4"/>
  <c r="E21" i="4"/>
  <c r="B21" i="4"/>
  <c r="C21" i="4"/>
  <c r="D21" i="4"/>
  <c r="A23" i="4" l="1"/>
  <c r="E22" i="4"/>
  <c r="C22" i="4"/>
  <c r="B22" i="4"/>
  <c r="D22" i="4"/>
  <c r="F22" i="4"/>
  <c r="A24" i="4" l="1"/>
  <c r="F23" i="4"/>
  <c r="B23" i="4"/>
  <c r="D23" i="4"/>
  <c r="E23" i="4"/>
  <c r="C23" i="4"/>
  <c r="A25" i="4" l="1"/>
  <c r="C24" i="4"/>
  <c r="E24" i="4"/>
  <c r="D24" i="4"/>
  <c r="B24" i="4"/>
  <c r="F24" i="4"/>
  <c r="A26" i="4" l="1"/>
  <c r="E25" i="4"/>
  <c r="D25" i="4"/>
  <c r="F25" i="4"/>
  <c r="C25" i="4"/>
  <c r="B25" i="4"/>
  <c r="A27" i="4" l="1"/>
  <c r="C26" i="4"/>
  <c r="F26" i="4"/>
  <c r="E26" i="4"/>
  <c r="B26" i="4"/>
  <c r="D26" i="4"/>
  <c r="A28" i="4" l="1"/>
  <c r="C27" i="4"/>
  <c r="B27" i="4"/>
  <c r="E27" i="4"/>
  <c r="F27" i="4"/>
  <c r="D27" i="4"/>
  <c r="A29" i="4" l="1"/>
  <c r="B29" i="4"/>
  <c r="C28" i="4"/>
  <c r="E29" i="4"/>
  <c r="F29" i="4"/>
  <c r="B28" i="4"/>
  <c r="E28" i="4"/>
  <c r="D29" i="4"/>
  <c r="C29" i="4"/>
  <c r="F28" i="4"/>
  <c r="D28" i="4"/>
</calcChain>
</file>

<file path=xl/comments1.xml><?xml version="1.0" encoding="utf-8"?>
<comments xmlns="http://schemas.openxmlformats.org/spreadsheetml/2006/main">
  <authors>
    <author>Tarasov, Oleg</author>
  </authors>
  <commentList>
    <comment ref="X3" authorId="0" shapeId="0">
      <text>
        <r>
          <rPr>
            <b/>
            <sz val="9"/>
            <color indexed="81"/>
            <rFont val="Tahoma"/>
            <family val="2"/>
          </rPr>
          <t>Tarasov, Oleg:</t>
        </r>
        <r>
          <rPr>
            <sz val="9"/>
            <color indexed="81"/>
            <rFont val="Tahoma"/>
            <family val="2"/>
          </rPr>
          <t xml:space="preserve">
to get Z via a/q</t>
        </r>
      </text>
    </comment>
  </commentList>
</comments>
</file>

<file path=xl/sharedStrings.xml><?xml version="1.0" encoding="utf-8"?>
<sst xmlns="http://schemas.openxmlformats.org/spreadsheetml/2006/main" count="1405" uniqueCount="831">
  <si>
    <t>Z,A</t>
  </si>
  <si>
    <t>N</t>
  </si>
  <si>
    <t>A/Q</t>
  </si>
  <si>
    <t>Fq</t>
  </si>
  <si>
    <t>B0</t>
  </si>
  <si>
    <t>No.</t>
  </si>
  <si>
    <t>Name</t>
  </si>
  <si>
    <t>Fit</t>
  </si>
  <si>
    <t>Basin</t>
  </si>
  <si>
    <t>MHz</t>
  </si>
  <si>
    <t>T</t>
  </si>
  <si>
    <t xml:space="preserve">Cp(0) </t>
  </si>
  <si>
    <t xml:space="preserve">Cp(1) </t>
  </si>
  <si>
    <t xml:space="preserve">Cp(2) </t>
  </si>
  <si>
    <t xml:space="preserve">Cp(3) </t>
  </si>
  <si>
    <t xml:space="preserve">czp(0) </t>
  </si>
  <si>
    <t xml:space="preserve">czp(1) </t>
  </si>
  <si>
    <t xml:space="preserve">czp(2) </t>
  </si>
  <si>
    <t xml:space="preserve">czp(3) </t>
  </si>
  <si>
    <t xml:space="preserve">cdqn(0) </t>
  </si>
  <si>
    <t xml:space="preserve">cdqn(1) </t>
  </si>
  <si>
    <t xml:space="preserve">cdqn(2) </t>
  </si>
  <si>
    <t xml:space="preserve">cdqn(3) </t>
  </si>
  <si>
    <t xml:space="preserve">cdqp(0) </t>
  </si>
  <si>
    <t xml:space="preserve">cdqp(1) </t>
  </si>
  <si>
    <t xml:space="preserve">cdqp(2) </t>
  </si>
  <si>
    <t xml:space="preserve">cdqp(3) </t>
  </si>
  <si>
    <t xml:space="preserve">cr(0) </t>
  </si>
  <si>
    <t xml:space="preserve">cr(1) </t>
  </si>
  <si>
    <t xml:space="preserve">cr(2) </t>
  </si>
  <si>
    <t xml:space="preserve">cr(3) </t>
  </si>
  <si>
    <t>up</t>
  </si>
  <si>
    <t>un</t>
  </si>
  <si>
    <t>Z</t>
  </si>
  <si>
    <t>Mass</t>
  </si>
  <si>
    <t>Density</t>
  </si>
  <si>
    <t>H</t>
  </si>
  <si>
    <t>He</t>
  </si>
  <si>
    <t>Li</t>
  </si>
  <si>
    <t>Be</t>
  </si>
  <si>
    <t>B</t>
  </si>
  <si>
    <t>C</t>
  </si>
  <si>
    <t>O</t>
  </si>
  <si>
    <t>F</t>
  </si>
  <si>
    <t>Ne</t>
  </si>
  <si>
    <t>Na</t>
  </si>
  <si>
    <t>Mg</t>
  </si>
  <si>
    <t>Al</t>
  </si>
  <si>
    <t>Si</t>
  </si>
  <si>
    <t>P</t>
  </si>
  <si>
    <t>S</t>
  </si>
  <si>
    <t>Cl</t>
  </si>
  <si>
    <t>Ar</t>
  </si>
  <si>
    <t>K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</si>
  <si>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</si>
  <si>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</si>
  <si>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</si>
  <si>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</si>
  <si>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</si>
  <si>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</si>
  <si>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</si>
  <si>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</si>
  <si>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</si>
  <si>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</si>
  <si>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</si>
  <si>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</si>
  <si>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</si>
  <si>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</si>
  <si>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</si>
  <si>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Br</t>
  </si>
  <si>
    <t>Kr</t>
  </si>
  <si>
    <t>Rb</t>
  </si>
  <si>
    <t>Sr</t>
  </si>
  <si>
    <t>Y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</si>
  <si>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</si>
  <si>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</si>
  <si>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</si>
  <si>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</si>
  <si>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</si>
  <si>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</si>
  <si>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</si>
  <si>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</si>
  <si>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</si>
  <si>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</si>
  <si>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</si>
  <si>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</si>
  <si>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</si>
  <si>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I</t>
  </si>
  <si>
    <t>Xe</t>
  </si>
  <si>
    <t>Cs</t>
  </si>
  <si>
    <t>Ba</t>
  </si>
  <si>
    <t>La</t>
  </si>
  <si>
    <t>Ce</t>
  </si>
  <si>
    <t>Pr</t>
  </si>
  <si>
    <t>Nd</t>
  </si>
  <si>
    <t>Pm</t>
  </si>
  <si>
    <t>Sm</t>
  </si>
  <si>
    <t>Eu</t>
  </si>
  <si>
    <t>Gd</t>
  </si>
  <si>
    <t>Tb</t>
  </si>
  <si>
    <t>Dy</t>
  </si>
  <si>
    <t>Ho</t>
  </si>
  <si>
    <t>Er</t>
  </si>
  <si>
    <t>Tm</t>
  </si>
  <si>
    <t>Yb</t>
  </si>
  <si>
    <t>Lu</t>
  </si>
  <si>
    <t>Hf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</si>
  <si>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</si>
  <si>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</si>
  <si>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</si>
  <si>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</si>
  <si>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</si>
  <si>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</si>
  <si>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</si>
  <si>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</si>
  <si>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</si>
  <si>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</si>
  <si>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</si>
  <si>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</si>
  <si>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</si>
  <si>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</si>
  <si>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</si>
  <si>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</si>
  <si>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Ac</t>
  </si>
  <si>
    <t>Th</t>
  </si>
  <si>
    <t>Pa</t>
  </si>
  <si>
    <t>U</t>
  </si>
  <si>
    <t>function</t>
  </si>
  <si>
    <t>return</t>
  </si>
  <si>
    <t>parameters</t>
  </si>
  <si>
    <t>Range In Matter</t>
  </si>
  <si>
    <t>Range  in mg/cm2</t>
  </si>
  <si>
    <t>%</t>
  </si>
  <si>
    <t>Zparticle=</t>
  </si>
  <si>
    <t>Aparticle=</t>
  </si>
  <si>
    <t>Ztarget=</t>
  </si>
  <si>
    <t>Atarget=</t>
  </si>
  <si>
    <t>Energy=</t>
  </si>
  <si>
    <t>example</t>
  </si>
  <si>
    <t>Thickness=</t>
  </si>
  <si>
    <t>mg/cm2</t>
  </si>
  <si>
    <t>ZmQ=</t>
  </si>
  <si>
    <t>names</t>
  </si>
  <si>
    <t>Energy loss
calculation method</t>
  </si>
  <si>
    <t>Charge State
calculation methods</t>
  </si>
  <si>
    <t>get  element mass</t>
  </si>
  <si>
    <t>Element Name</t>
  </si>
  <si>
    <t>Element Name -&gt; Z (int)</t>
  </si>
  <si>
    <t>Show_Z</t>
  </si>
  <si>
    <t>Show_Element</t>
  </si>
  <si>
    <t>Mkm2Mg</t>
  </si>
  <si>
    <t>micron</t>
  </si>
  <si>
    <t>Mg2Mkm</t>
  </si>
  <si>
    <t>mg/cm2 -&gt; microns</t>
  </si>
  <si>
    <t>microns -&gt; mg/cm2</t>
  </si>
  <si>
    <t>Thickness [mg/cm2]
Ztarget</t>
  </si>
  <si>
    <t>Thickness [micron]
Ztarget</t>
  </si>
  <si>
    <t>current state = 1</t>
  </si>
  <si>
    <t>Energy Straggling
calculation methods</t>
  </si>
  <si>
    <t>energy straggling 
in material [MeV/u]</t>
  </si>
  <si>
    <t>MeV/u</t>
  </si>
  <si>
    <t>StragglingEnergy</t>
  </si>
  <si>
    <t>StragglingRange</t>
  </si>
  <si>
    <t>range straggling 
in material [mg/cm2]</t>
  </si>
  <si>
    <t>Energy2Beta</t>
  </si>
  <si>
    <t>Zparticle, Aparticle
Energy [MeV/u]
Ztarget</t>
  </si>
  <si>
    <t>Energy [MeV/u]
Zparticle, Ztarget
Zpart-Qpart</t>
  </si>
  <si>
    <t>Energy [MeV/u]</t>
  </si>
  <si>
    <t>transformation
Energy [MeV/u] to Beta</t>
  </si>
  <si>
    <t>Beta2Energy</t>
  </si>
  <si>
    <t>transformation
Beta to Energy [MeV/u]</t>
  </si>
  <si>
    <t>beta</t>
  </si>
  <si>
    <t>Gamma2Beta</t>
  </si>
  <si>
    <t>Beta2Gamma</t>
  </si>
  <si>
    <t>transformation
Gamma to Beta</t>
  </si>
  <si>
    <t>transformation
Beta to Gamma</t>
  </si>
  <si>
    <t>gamma</t>
  </si>
  <si>
    <t>transformation
Gamma to Energy [MeV/u]</t>
  </si>
  <si>
    <t>Energy2Gamma</t>
  </si>
  <si>
    <t>transformation
Energy [MeV/u] to Gamma</t>
  </si>
  <si>
    <t>Gamma2Energy</t>
  </si>
  <si>
    <t>Energy2Brho</t>
  </si>
  <si>
    <t>Brho2Energy</t>
  </si>
  <si>
    <t>transformation
Brho[Tm] to 
Energy [MeV/u]</t>
  </si>
  <si>
    <t>transformation
Energy [MeV/u]
 to Brho [Tm]</t>
  </si>
  <si>
    <t>Zparticle, Aparticle,
Ztarget, Atarget,
Zfragment, Afragment</t>
  </si>
  <si>
    <t>Cross section
(EPAX 2.15)
[mb]</t>
  </si>
  <si>
    <t>mb</t>
  </si>
  <si>
    <t>you may change</t>
  </si>
  <si>
    <t xml:space="preserve"> values of top cells</t>
  </si>
  <si>
    <t>Zfragment=</t>
  </si>
  <si>
    <t>Afragment=</t>
  </si>
  <si>
    <t>Stopping power</t>
  </si>
  <si>
    <t>MeV/(mg/cm2)</t>
  </si>
  <si>
    <t>Hubert  -  option=0</t>
  </si>
  <si>
    <t>Zigler  -  option=1</t>
  </si>
  <si>
    <t>Atima  -  option=2</t>
  </si>
  <si>
    <t>Atima without LS  -  option=3</t>
  </si>
  <si>
    <t>beta2</t>
  </si>
  <si>
    <t>Q</t>
  </si>
  <si>
    <t>ns</t>
  </si>
  <si>
    <t>MeV</t>
  </si>
  <si>
    <t>TKE =</t>
  </si>
  <si>
    <t>TKE</t>
  </si>
  <si>
    <t>dE_v</t>
  </si>
  <si>
    <t>pid.rf1</t>
  </si>
  <si>
    <t>pid.rf2</t>
  </si>
  <si>
    <t>a_tof=</t>
  </si>
  <si>
    <t>ns/ch</t>
  </si>
  <si>
    <t>a_tof2=</t>
  </si>
  <si>
    <t>b_tof=</t>
  </si>
  <si>
    <t>b_tof2=</t>
  </si>
  <si>
    <t>shift=</t>
  </si>
  <si>
    <t>shift2=</t>
  </si>
  <si>
    <t>fp.pin</t>
  </si>
  <si>
    <t>fp.sci</t>
  </si>
  <si>
    <t>a_pin_de=</t>
  </si>
  <si>
    <t>MeV/ch</t>
  </si>
  <si>
    <t>a_sci_de=</t>
  </si>
  <si>
    <t>b_pin_de=</t>
  </si>
  <si>
    <t>b_sci_de=</t>
  </si>
  <si>
    <t>Material_pin=</t>
  </si>
  <si>
    <t>Thickness_pin=</t>
  </si>
  <si>
    <t>different</t>
  </si>
  <si>
    <t>HF=</t>
  </si>
  <si>
    <t>pid.Z</t>
  </si>
  <si>
    <t>shift_calc=</t>
  </si>
  <si>
    <t>a_z=</t>
  </si>
  <si>
    <t>b_z=</t>
  </si>
  <si>
    <t>length1=</t>
  </si>
  <si>
    <t>m</t>
  </si>
  <si>
    <t>length2=</t>
  </si>
  <si>
    <t>radius=</t>
  </si>
  <si>
    <t>mass_58Ni=</t>
  </si>
  <si>
    <t>aem</t>
  </si>
  <si>
    <t>relat_PPAC_dE=</t>
  </si>
  <si>
    <t>c_speed=</t>
  </si>
  <si>
    <t>m/ns</t>
  </si>
  <si>
    <t>aem=</t>
  </si>
  <si>
    <t>information</t>
  </si>
  <si>
    <t>slopeX=</t>
  </si>
  <si>
    <t>cells to edit</t>
  </si>
  <si>
    <t>offsetX=</t>
  </si>
  <si>
    <t>protected cells</t>
  </si>
  <si>
    <t>slope_Brho=</t>
  </si>
  <si>
    <t>dispersion=</t>
  </si>
  <si>
    <t>mm/%</t>
  </si>
  <si>
    <t>Oleg Tarasov</t>
  </si>
  <si>
    <t>tarasov@nscl.msu.edu</t>
  </si>
  <si>
    <t>code LISE++</t>
  </si>
  <si>
    <t>Momentum2Energy</t>
  </si>
  <si>
    <t>Energy2Momentum</t>
  </si>
  <si>
    <t>transformation
Momentum[MeV/c] to 
Energy [MeV/u]</t>
  </si>
  <si>
    <t>transformation
Energy [MeV/u]
 to Momentum [MeV/c]</t>
  </si>
  <si>
    <t xml:space="preserve">Momentum [MeV/c]
Qparticle </t>
  </si>
  <si>
    <t xml:space="preserve">Energy [MeV/u]
Qparticle </t>
  </si>
  <si>
    <t>Brho2Momentum</t>
  </si>
  <si>
    <t>Momentum2Brho</t>
  </si>
  <si>
    <t>transformation
Brho [Tm]
 to Momentum [MeV/c]</t>
  </si>
  <si>
    <t>transformation
Momentum[MeV/c] to 
Brho [Tm]</t>
  </si>
  <si>
    <t>Energy [MeV/u]
Zparticle, Ztarget
Zpart-Qpart, Option</t>
  </si>
  <si>
    <t>Charge state option =</t>
  </si>
  <si>
    <t>Range option =</t>
  </si>
  <si>
    <t>Energy loss option =</t>
  </si>
  <si>
    <t>Range In Matter
with option</t>
  </si>
  <si>
    <t>Zparticle, Aparticle
Energy [MeV/u]
Ztarget, option</t>
  </si>
  <si>
    <t>Zparticle, Aparticle
Energy [MeV/u]
Ztarget, Thickness [mg/cm2]</t>
  </si>
  <si>
    <t>Zparticle, Aparticle
Energy [MeV/u], Ztarget
Thickness [mg/cm2],option</t>
  </si>
  <si>
    <t>RESULT</t>
  </si>
  <si>
    <t>RESULT=</t>
  </si>
  <si>
    <t>Equilibrium thickness</t>
  </si>
  <si>
    <t>&lt;Q&gt;  /average/</t>
  </si>
  <si>
    <t>dQ  /st.deviation/</t>
  </si>
  <si>
    <t>Z - Q = 0</t>
  </si>
  <si>
    <t>Z - Q = 1</t>
  </si>
  <si>
    <t>Z - Q = 2</t>
  </si>
  <si>
    <t>Z - Q = 4</t>
  </si>
  <si>
    <t>Z - Q = 3</t>
  </si>
  <si>
    <t>Z - Q = 5</t>
  </si>
  <si>
    <t>Z - Q = 6</t>
  </si>
  <si>
    <t>part</t>
  </si>
  <si>
    <t>0-slow / 1-fast / 2 -superfast</t>
  </si>
  <si>
    <t>Options</t>
  </si>
  <si>
    <t>If result is equal -776,-777 or -778  ---  you got error!</t>
  </si>
  <si>
    <t>check input parameters</t>
  </si>
  <si>
    <t>Description</t>
  </si>
  <si>
    <t>Dimens</t>
  </si>
  <si>
    <t>initial input charge</t>
  </si>
  <si>
    <t>Mass of projectile</t>
  </si>
  <si>
    <t>Element number of proj.</t>
  </si>
  <si>
    <t>Mass of target</t>
  </si>
  <si>
    <t>Element number of target</t>
  </si>
  <si>
    <t>Option (see bottom table)</t>
  </si>
  <si>
    <t>GlobalCode(ZmQ_out; Aparticle; Zparticle; ZmQ_in; Energy; Atarget; Ztarget; Thickness; Option; Fast)</t>
  </si>
  <si>
    <t xml:space="preserve">* -  Equilibrium distribution is suggested </t>
  </si>
  <si>
    <t>E final : final energy of projectile after Equilibrium thickness</t>
  </si>
  <si>
    <t>E init :  initial energy of projectile before Equilibrium thickness</t>
  </si>
  <si>
    <t>ZmQ_in=</t>
  </si>
  <si>
    <t>Option=</t>
  </si>
  <si>
    <t>Fast=</t>
  </si>
  <si>
    <t>ZmQ_out=</t>
  </si>
  <si>
    <t>0/1- at target  (Einit/Efinal);  2/3 -equilibrium (Einit/Efinal)</t>
  </si>
  <si>
    <t>Energy after/before target</t>
  </si>
  <si>
    <t>MeV/u   (init or final : depends from option')</t>
  </si>
  <si>
    <t>Energy [MeV/u]
Zparticle, Ztarget,
option</t>
  </si>
  <si>
    <t>Target=</t>
  </si>
  <si>
    <t>Winger</t>
  </si>
  <si>
    <t>Leon</t>
  </si>
  <si>
    <t>Schima</t>
  </si>
  <si>
    <t>Global</t>
  </si>
  <si>
    <t>Zbeam</t>
  </si>
  <si>
    <t>Ztarget</t>
  </si>
  <si>
    <t>Beam (Z) =</t>
  </si>
  <si>
    <t>Energy =</t>
  </si>
  <si>
    <t>current state = 2</t>
  </si>
  <si>
    <t>Np</t>
  </si>
  <si>
    <t>Pu</t>
  </si>
  <si>
    <t>Am</t>
  </si>
  <si>
    <t>Cm</t>
  </si>
  <si>
    <t>Bk</t>
  </si>
  <si>
    <t>Cf</t>
  </si>
  <si>
    <t>Es</t>
  </si>
  <si>
    <t>Fm</t>
  </si>
  <si>
    <t>Md</t>
  </si>
  <si>
    <t>No</t>
  </si>
  <si>
    <t>Lr</t>
  </si>
  <si>
    <t>Rf</t>
  </si>
  <si>
    <t>Db</t>
  </si>
  <si>
    <t>Sg</t>
  </si>
  <si>
    <t>Bh</t>
  </si>
  <si>
    <t>Hs</t>
  </si>
  <si>
    <t>Mt</t>
  </si>
  <si>
    <t>B9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</si>
  <si>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</si>
  <si>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</si>
  <si>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</si>
  <si>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</si>
  <si>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</si>
  <si>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</si>
  <si>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</si>
  <si>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</si>
  <si>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</si>
  <si>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</si>
  <si>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</si>
  <si>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</si>
  <si>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</si>
  <si>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</si>
  <si>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</si>
  <si>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</si>
  <si>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</si>
  <si>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</si>
  <si>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</si>
  <si>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</si>
  <si>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</si>
  <si>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</si>
  <si>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</si>
  <si>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</si>
  <si>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</si>
  <si>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</si>
  <si>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</si>
  <si>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</si>
  <si>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</si>
  <si>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</si>
  <si>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</si>
  <si>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</si>
  <si>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</si>
  <si>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</si>
  <si>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</si>
  <si>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</si>
  <si>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</si>
  <si>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</si>
  <si>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</si>
  <si>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</si>
  <si>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</si>
  <si>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</si>
  <si>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</si>
  <si>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</si>
  <si>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</si>
  <si>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</si>
  <si>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</si>
  <si>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</si>
  <si>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</si>
  <si>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H0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</si>
  <si>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</si>
  <si>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</si>
  <si>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</si>
  <si>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</si>
  <si>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</si>
  <si>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</si>
  <si>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</si>
  <si>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</si>
  <si>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</si>
  <si>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</si>
  <si>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</si>
  <si>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</si>
  <si>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</si>
  <si>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</si>
  <si>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</si>
  <si>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</si>
  <si>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</si>
  <si>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</si>
  <si>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J0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</si>
  <si>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</si>
  <si>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</si>
  <si>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</si>
  <si>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</si>
  <si>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</si>
  <si>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</si>
  <si>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</si>
  <si>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</si>
  <si>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</si>
  <si>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K0</t>
  </si>
  <si>
    <t>Z - Q = 7</t>
  </si>
  <si>
    <t>Energy After Matter</t>
  </si>
  <si>
    <t>Residual energy in MeV/u</t>
  </si>
  <si>
    <t>Energy After Matter
with option</t>
  </si>
  <si>
    <t>Isotope Mass</t>
  </si>
  <si>
    <t>get  isotopic mass</t>
  </si>
  <si>
    <t>Z (int) -&gt; Element Name</t>
  </si>
  <si>
    <t>Atomic number</t>
  </si>
  <si>
    <t>Charge State Fraction*</t>
  </si>
  <si>
    <t>Charge State Fraction %</t>
  </si>
  <si>
    <t>Charge State Fraction *
with option</t>
  </si>
  <si>
    <t>Charge State  &lt;Q&gt; *</t>
  </si>
  <si>
    <t>Average Charge
State with option*</t>
  </si>
  <si>
    <t>Charge dQ *</t>
  </si>
  <si>
    <t>Charge State sigma
dQ *</t>
  </si>
  <si>
    <t>current state = 4</t>
  </si>
  <si>
    <t>Schiwietz</t>
  </si>
  <si>
    <t>Schwietz model for GAS*</t>
  </si>
  <si>
    <t>current state = 3</t>
  </si>
  <si>
    <t>name</t>
  </si>
  <si>
    <t>definition</t>
  </si>
  <si>
    <t>formula</t>
  </si>
  <si>
    <t>SI</t>
  </si>
  <si>
    <t xml:space="preserve">  </t>
  </si>
  <si>
    <t>Ap</t>
  </si>
  <si>
    <t>Zp</t>
  </si>
  <si>
    <t>Name_p</t>
  </si>
  <si>
    <t>dEp</t>
  </si>
  <si>
    <t>MassExcess</t>
  </si>
  <si>
    <t>Ap3</t>
  </si>
  <si>
    <t>Ap^(1/3)</t>
  </si>
  <si>
    <t>Rp</t>
  </si>
  <si>
    <t>equivalent sharp radius(calc)</t>
  </si>
  <si>
    <t>Wilcke</t>
  </si>
  <si>
    <t>1.28*Ap3-0.76+0.8/Ap3</t>
  </si>
  <si>
    <t>fm</t>
  </si>
  <si>
    <t>Rp1</t>
  </si>
  <si>
    <t>Hodgson</t>
  </si>
  <si>
    <t>(1.13+0.0002*Ap)*Ap3</t>
  </si>
  <si>
    <t>Cp</t>
  </si>
  <si>
    <t>matter half-density radius(calc)</t>
  </si>
  <si>
    <t>Rp*(1-(1/Rp)^2)</t>
  </si>
  <si>
    <t>Cp1</t>
  </si>
  <si>
    <t>Rp1*(1-(1/Rp1)^2)</t>
  </si>
  <si>
    <t>Cp2</t>
  </si>
  <si>
    <t>1.18*Ap3-0.48</t>
  </si>
  <si>
    <t>Rpcharge</t>
  </si>
  <si>
    <t>charge radius</t>
  </si>
  <si>
    <t>1.12*Ap3+2.009/Ap3-1.513/Ap</t>
  </si>
  <si>
    <t>Zt</t>
  </si>
  <si>
    <t>Name_t</t>
  </si>
  <si>
    <t>dEt</t>
  </si>
  <si>
    <t>At3</t>
  </si>
  <si>
    <t>At^(1/3)</t>
  </si>
  <si>
    <t>Rt</t>
  </si>
  <si>
    <t>1.28*At3-0.76+0.8/At3</t>
  </si>
  <si>
    <t>Rt1</t>
  </si>
  <si>
    <t>(1.13+0.0002*At)*At3</t>
  </si>
  <si>
    <t>Ct</t>
  </si>
  <si>
    <t>Rt*(1-(1/Rt)^2)</t>
  </si>
  <si>
    <t>Ct1</t>
  </si>
  <si>
    <t>Rt1*(1-(1/Rt1)^2)</t>
  </si>
  <si>
    <t>Ct2</t>
  </si>
  <si>
    <t>1.18*At3-0.48</t>
  </si>
  <si>
    <t>Rtcharge</t>
  </si>
  <si>
    <t>1.12*At3+2.009/At3-1.513/At</t>
  </si>
  <si>
    <t xml:space="preserve"> </t>
  </si>
  <si>
    <t>Ap+At</t>
  </si>
  <si>
    <t>Zc</t>
  </si>
  <si>
    <t>Zp+Zt</t>
  </si>
  <si>
    <t>dEc</t>
  </si>
  <si>
    <t>ground state Q-value for fusion</t>
  </si>
  <si>
    <t>dEt+dEp-dEcomp</t>
  </si>
  <si>
    <t>reduced  mass  number</t>
  </si>
  <si>
    <t>Ap*At/(Ap+At)</t>
  </si>
  <si>
    <t>Ac3</t>
  </si>
  <si>
    <t>Ac^(1/3)</t>
  </si>
  <si>
    <t>AtAp3</t>
  </si>
  <si>
    <t>At^(1/3)+Ap^(1/3)</t>
  </si>
  <si>
    <t>At3+Ap3</t>
  </si>
  <si>
    <t>RtRp</t>
  </si>
  <si>
    <t>sum Rt and Rp</t>
  </si>
  <si>
    <t>Rt+Rp</t>
  </si>
  <si>
    <t>Rint</t>
  </si>
  <si>
    <t>interaction radius</t>
  </si>
  <si>
    <t>Ct+Cp+4.49-(Ct+Cp)/6.35</t>
  </si>
  <si>
    <t>Rn1</t>
  </si>
  <si>
    <t>1.68*AtAp</t>
  </si>
  <si>
    <t>Rn2</t>
  </si>
  <si>
    <t>Cp1+Ct1+3.2</t>
  </si>
  <si>
    <t>Rbarrier</t>
  </si>
  <si>
    <t>fusion barrier radius for s-wav.</t>
  </si>
  <si>
    <t>Rint-0.3117*(Zp*Zt)^(0.2122)</t>
  </si>
  <si>
    <t>Rc</t>
  </si>
  <si>
    <t>coulomb radius from "LNP"</t>
  </si>
  <si>
    <t>LNP</t>
  </si>
  <si>
    <t>0.5+1.36*AtAp3</t>
  </si>
  <si>
    <t>Ro</t>
  </si>
  <si>
    <t>Rint/(At^(1/3)+Ap^(1/3))</t>
  </si>
  <si>
    <t>&lt;C&gt;</t>
  </si>
  <si>
    <t>reduced half-density radius</t>
  </si>
  <si>
    <t>Ct*Cp/(Ct+Cp)</t>
  </si>
  <si>
    <t>VC</t>
  </si>
  <si>
    <t>BSS Coulomb pot. at r=Rint</t>
  </si>
  <si>
    <t>1.438*Zp*Zt/Rint</t>
  </si>
  <si>
    <t>VC_Rc</t>
  </si>
  <si>
    <t>BSS Coulomb pot. at r=Rc</t>
  </si>
  <si>
    <t>1.438*Zp*Zt/Rc</t>
  </si>
  <si>
    <t>VC_Rbar</t>
  </si>
  <si>
    <t>total conserv. potential at Rbar</t>
  </si>
  <si>
    <t>1.438*Zp*Zt/Rbar</t>
  </si>
  <si>
    <t>Xf</t>
  </si>
  <si>
    <t>Saddle point (fissility parameter)</t>
  </si>
  <si>
    <t>Z^2/A/50.13(1-7.826(N-Z)^2/A^2</t>
  </si>
  <si>
    <t>fission TKE for simmet. fission</t>
  </si>
  <si>
    <t>0.1071*Zc^2/Ac3+22.3</t>
  </si>
  <si>
    <t>Elab</t>
  </si>
  <si>
    <t>Elab / Ap</t>
  </si>
  <si>
    <t>Ecm</t>
  </si>
  <si>
    <t>Energy SCM</t>
  </si>
  <si>
    <t>Ecm+Q</t>
  </si>
  <si>
    <t>Excitation Energy</t>
  </si>
  <si>
    <t>ETA</t>
  </si>
  <si>
    <t>coulomb parameter</t>
  </si>
  <si>
    <t>Zp*Zt*e*e/h/v</t>
  </si>
  <si>
    <t>k</t>
  </si>
  <si>
    <t>asym. wave number in the CMS</t>
  </si>
  <si>
    <t>(2*mu*m_nuclon*Ecm/h/h)^(1/2)</t>
  </si>
  <si>
    <t>1  /  fm</t>
  </si>
  <si>
    <t>a</t>
  </si>
  <si>
    <t>parameter</t>
  </si>
  <si>
    <t>Wilcke-Hod</t>
  </si>
  <si>
    <t>Zt*Zp*e*e/(mv^2) --- ETA/k</t>
  </si>
  <si>
    <t>QP-CM</t>
  </si>
  <si>
    <t>quarterpoint angle in the CMS</t>
  </si>
  <si>
    <t>2*arcsin(ETA/(k*Rint-ETA))</t>
  </si>
  <si>
    <t>deg</t>
  </si>
  <si>
    <t>Qgr</t>
  </si>
  <si>
    <t>grazing angle in the CMS(LNF)</t>
  </si>
  <si>
    <t>LNF</t>
  </si>
  <si>
    <t>2*ATAN( ETA / Lmax )</t>
  </si>
  <si>
    <t>Qcr</t>
  </si>
  <si>
    <t>critical angle</t>
  </si>
  <si>
    <t>2*asin(a/(Rint-a)</t>
  </si>
  <si>
    <t>LcriticalF</t>
  </si>
  <si>
    <t>crit.ang.momentum for fusion</t>
  </si>
  <si>
    <t>k*RtRp*(1-2a/RtRp)^0.5-0.5</t>
  </si>
  <si>
    <t>h/2pi</t>
  </si>
  <si>
    <t>Lmax</t>
  </si>
  <si>
    <t>graz.ang.momentum by QP-CM</t>
  </si>
  <si>
    <t>ETA*cot(QP-CM/2)</t>
  </si>
  <si>
    <t>SGMAR</t>
  </si>
  <si>
    <t>reaction CS derived from Lmax</t>
  </si>
  <si>
    <t>(pi/k^2)*(Lmax+1/2)^2</t>
  </si>
  <si>
    <t>SGcr</t>
  </si>
  <si>
    <t>critical CS</t>
  </si>
  <si>
    <t>pi()/k/k*(Lcr+0.5)^2</t>
  </si>
  <si>
    <t>SGMgr1</t>
  </si>
  <si>
    <t>grazing CS</t>
  </si>
  <si>
    <t>pi()*Rc^2*(1-VC_RC/Ecm)</t>
  </si>
  <si>
    <t>SGMgr2</t>
  </si>
  <si>
    <t>pi()*Rint^2*(1-VC/Ecm)</t>
  </si>
  <si>
    <t>Dgr</t>
  </si>
  <si>
    <t>dist.of cl.appr. in the graz.angle</t>
  </si>
  <si>
    <t>a*(1+cosec((QP-CM/2))</t>
  </si>
  <si>
    <t>Dgr/AtAp3</t>
  </si>
  <si>
    <t>ratio Dgr to AtAp3</t>
  </si>
  <si>
    <t>WaveLength</t>
  </si>
  <si>
    <t>197/sqrt(2*Ap*931*Elab)</t>
  </si>
  <si>
    <t>AngDif1</t>
  </si>
  <si>
    <t>2*asin(pi()*WaveLength/2/Rt)</t>
  </si>
  <si>
    <t>degrees</t>
  </si>
  <si>
    <t>AngDif2</t>
  </si>
  <si>
    <t>2*asin(pi()*WaveLength/Rt)</t>
  </si>
  <si>
    <t>bgr</t>
  </si>
  <si>
    <t>impact parameter for graz.</t>
  </si>
  <si>
    <t>a*cos(1/2*Qgr)</t>
  </si>
  <si>
    <t>MeV / u</t>
  </si>
  <si>
    <t>Mp</t>
  </si>
  <si>
    <t>Mc</t>
  </si>
  <si>
    <t>Elab / Mp</t>
  </si>
  <si>
    <t>Energy  per nucleon</t>
  </si>
  <si>
    <t>Mt*Elab/ (Mt+Mp)</t>
  </si>
  <si>
    <t>old+78</t>
  </si>
  <si>
    <t>EPAX 2.15</t>
  </si>
  <si>
    <t>EPAX 3.01</t>
  </si>
  <si>
    <t>Cross section
(EPAX 3.01)
[mb]</t>
  </si>
  <si>
    <t>lise.nscl.msu.edu</t>
  </si>
  <si>
    <t>Ds</t>
  </si>
  <si>
    <t>Rg</t>
  </si>
  <si>
    <t>Cn</t>
  </si>
  <si>
    <t>Ed</t>
  </si>
  <si>
    <t>Fl</t>
  </si>
  <si>
    <t>Ef</t>
  </si>
  <si>
    <t>Lv</t>
  </si>
  <si>
    <t>Eh</t>
  </si>
  <si>
    <t>Ei</t>
  </si>
  <si>
    <t>Ion Mass</t>
  </si>
  <si>
    <t>get  ion mass</t>
  </si>
  <si>
    <t>Z,A,q</t>
  </si>
  <si>
    <t xml:space="preserve">Brho [Tm]
Mass of Ion, Qparticle </t>
  </si>
  <si>
    <t xml:space="preserve">Energy [MeV/u]
Mass of Ion, Qparticle </t>
  </si>
  <si>
    <t>Energy [MeV/u]
Mass of Ion</t>
  </si>
  <si>
    <t>Momentum [MeV/c]
M of Ion</t>
  </si>
  <si>
    <t>dv_res</t>
  </si>
  <si>
    <t>dv_brho</t>
  </si>
  <si>
    <t>dv_g</t>
  </si>
  <si>
    <t>dv_TKE</t>
  </si>
  <si>
    <t>A-3q</t>
  </si>
  <si>
    <t>v_brho</t>
  </si>
  <si>
    <t>v_g</t>
  </si>
  <si>
    <t>v_TKE</t>
  </si>
  <si>
    <t>v_Z</t>
  </si>
  <si>
    <t>v_up_Aq</t>
  </si>
  <si>
    <t>A-2Z</t>
  </si>
  <si>
    <t>dQres</t>
  </si>
  <si>
    <t>dQ_brho</t>
  </si>
  <si>
    <t>dQ_beta</t>
  </si>
  <si>
    <t>dQ_TKE</t>
  </si>
  <si>
    <t>A-2q</t>
  </si>
  <si>
    <t>Q_Brho</t>
  </si>
  <si>
    <t>Q_beta</t>
  </si>
  <si>
    <t xml:space="preserve">    *  asumming full stripped  (A/q)*Z  - 2 Z</t>
  </si>
  <si>
    <t>dA_res</t>
  </si>
  <si>
    <t>dA_q</t>
  </si>
  <si>
    <t>dA_Aq</t>
  </si>
  <si>
    <t>A-2Z * =</t>
  </si>
  <si>
    <t>A-3q =</t>
  </si>
  <si>
    <t>A_q</t>
  </si>
  <si>
    <t>A_a/q</t>
  </si>
  <si>
    <t>A (meas)</t>
  </si>
  <si>
    <t>A-2q =</t>
  </si>
  <si>
    <r>
      <t>A (from [A/q]*q_</t>
    </r>
    <r>
      <rPr>
        <u/>
        <sz val="11"/>
        <color theme="1"/>
        <rFont val="Calibri"/>
        <family val="2"/>
        <scheme val="minor"/>
      </rPr>
      <t>measur</t>
    </r>
    <r>
      <rPr>
        <sz val="10"/>
        <rFont val="Arial"/>
        <family val="2"/>
      </rPr>
      <t>) =</t>
    </r>
  </si>
  <si>
    <t>dA_gamma</t>
  </si>
  <si>
    <t>dA_TKE</t>
  </si>
  <si>
    <r>
      <t>A (from [A/q]*q_</t>
    </r>
    <r>
      <rPr>
        <u/>
        <sz val="11"/>
        <color theme="1"/>
        <rFont val="Calibri"/>
        <family val="2"/>
        <scheme val="minor"/>
      </rPr>
      <t>integer</t>
    </r>
    <r>
      <rPr>
        <sz val="10"/>
        <rFont val="Arial"/>
        <family val="2"/>
      </rPr>
      <t>) =</t>
    </r>
  </si>
  <si>
    <t>A (from TKE) =</t>
  </si>
  <si>
    <t>A (int)</t>
  </si>
  <si>
    <t>A_g</t>
  </si>
  <si>
    <t>A (TKE)</t>
  </si>
  <si>
    <t>q =</t>
  </si>
  <si>
    <t>el_up</t>
  </si>
  <si>
    <t xml:space="preserve">Z = </t>
  </si>
  <si>
    <t>dv2</t>
  </si>
  <si>
    <t>dv1</t>
  </si>
  <si>
    <t>el</t>
  </si>
  <si>
    <t>`</t>
  </si>
  <si>
    <r>
      <t>error (</t>
    </r>
    <r>
      <rPr>
        <b/>
        <sz val="10"/>
        <color theme="1"/>
        <rFont val="Symbol"/>
        <family val="1"/>
        <charset val="2"/>
      </rPr>
      <t>s</t>
    </r>
    <r>
      <rPr>
        <b/>
        <sz val="10"/>
        <color theme="1"/>
        <rFont val="Calibri"/>
        <family val="2"/>
      </rPr>
      <t>)</t>
    </r>
  </si>
  <si>
    <t>PID  values</t>
  </si>
  <si>
    <t>dE_v_up</t>
  </si>
  <si>
    <t>v2</t>
  </si>
  <si>
    <t>v dE_up</t>
  </si>
  <si>
    <t>v0</t>
  </si>
  <si>
    <t>A / q =</t>
  </si>
  <si>
    <t>A/q</t>
  </si>
  <si>
    <t>Zsyst</t>
  </si>
  <si>
    <t>E1_loss</t>
  </si>
  <si>
    <t>Beta</t>
  </si>
  <si>
    <t>Brho</t>
  </si>
  <si>
    <t>cm/ns</t>
  </si>
  <si>
    <t>velocity =</t>
  </si>
  <si>
    <t>dBeta_er</t>
  </si>
  <si>
    <t>dBrho_er</t>
  </si>
  <si>
    <t>contribution in error</t>
  </si>
  <si>
    <t>gamma =</t>
  </si>
  <si>
    <t>beta =</t>
  </si>
  <si>
    <t>Beta_er</t>
  </si>
  <si>
    <t>Brho_er</t>
  </si>
  <si>
    <t>Deduced values</t>
  </si>
  <si>
    <t>tke_up</t>
  </si>
  <si>
    <t>gamma_up</t>
  </si>
  <si>
    <t>E1_loss =</t>
  </si>
  <si>
    <t>beta_up2</t>
  </si>
  <si>
    <t>beta_up</t>
  </si>
  <si>
    <t>T*m</t>
  </si>
  <si>
    <t>Brho =</t>
  </si>
  <si>
    <t>brho_up</t>
  </si>
  <si>
    <t xml:space="preserve">ns </t>
  </si>
  <si>
    <t>TOF =</t>
  </si>
  <si>
    <t>Measured values</t>
  </si>
  <si>
    <t>Momentum Resolution =</t>
  </si>
  <si>
    <t>Momentum (Brho) =</t>
  </si>
  <si>
    <t>mm</t>
  </si>
  <si>
    <t>Detector resolution =</t>
  </si>
  <si>
    <t>X-dispersion =</t>
  </si>
  <si>
    <t>X-magnification @ disp.plane =</t>
  </si>
  <si>
    <t>Eloss =</t>
  </si>
  <si>
    <t>X-image at target =</t>
  </si>
  <si>
    <t>(calibration)</t>
  </si>
  <si>
    <t>sigma</t>
  </si>
  <si>
    <t>Momentum Resolution</t>
  </si>
  <si>
    <t xml:space="preserve">systematical </t>
  </si>
  <si>
    <t>Resolution</t>
  </si>
  <si>
    <t>um</t>
  </si>
  <si>
    <t>1st(Z) detector thickness =</t>
  </si>
  <si>
    <t>1st(Z) detector material =</t>
  </si>
  <si>
    <t>Flight Length =</t>
  </si>
  <si>
    <t>Set-up</t>
  </si>
  <si>
    <t xml:space="preserve">M_ion/q = </t>
  </si>
  <si>
    <t>M_ion =</t>
  </si>
  <si>
    <t>Eloss_option=</t>
  </si>
  <si>
    <t>M_isotope =</t>
  </si>
  <si>
    <t>coef_Aq =</t>
  </si>
  <si>
    <t>Z =</t>
  </si>
  <si>
    <t>A =</t>
  </si>
  <si>
    <t>Ion</t>
  </si>
  <si>
    <r>
      <rPr>
        <b/>
        <sz val="10"/>
        <rFont val="Arial"/>
        <family val="2"/>
      </rPr>
      <t xml:space="preserve">A1900_R_Dipole </t>
    </r>
    <r>
      <rPr>
        <sz val="10"/>
        <rFont val="Arial"/>
        <family val="2"/>
      </rPr>
      <t>( N of dipole,B_field )</t>
    </r>
  </si>
  <si>
    <r>
      <rPr>
        <b/>
        <sz val="10"/>
        <rFont val="Arial"/>
        <family val="2"/>
      </rPr>
      <t xml:space="preserve">A1900_Br_Dipole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>N of dipole,B_field )</t>
    </r>
  </si>
  <si>
    <r>
      <rPr>
        <b/>
        <sz val="10"/>
        <rFont val="Arial"/>
        <family val="2"/>
      </rPr>
      <t>Beta2Brho</t>
    </r>
    <r>
      <rPr>
        <sz val="10"/>
        <rFont val="Arial"/>
        <family val="2"/>
      </rPr>
      <t xml:space="preserve"> ( beta, Mass, Q )</t>
    </r>
  </si>
  <si>
    <r>
      <rPr>
        <b/>
        <sz val="10"/>
        <rFont val="Arial"/>
        <family val="2"/>
      </rPr>
      <t xml:space="preserve">Beta2Energy </t>
    </r>
    <r>
      <rPr>
        <sz val="10"/>
        <rFont val="Arial"/>
        <family val="2"/>
      </rPr>
      <t>( beta )</t>
    </r>
  </si>
  <si>
    <r>
      <rPr>
        <b/>
        <sz val="10"/>
        <rFont val="Arial"/>
        <family val="2"/>
      </rPr>
      <t>Beta2Gamma</t>
    </r>
    <r>
      <rPr>
        <sz val="10"/>
        <rFont val="Arial"/>
        <family val="2"/>
      </rPr>
      <t xml:space="preserve"> ( beta )</t>
    </r>
  </si>
  <si>
    <r>
      <rPr>
        <b/>
        <sz val="10"/>
        <rFont val="Arial"/>
        <family val="2"/>
      </rPr>
      <t>Brho2Beta</t>
    </r>
    <r>
      <rPr>
        <sz val="10"/>
        <rFont val="Arial"/>
        <family val="2"/>
      </rPr>
      <t xml:space="preserve"> ( Brho, mass, Q )</t>
    </r>
  </si>
  <si>
    <r>
      <rPr>
        <b/>
        <sz val="10"/>
        <rFont val="Arial"/>
        <family val="2"/>
      </rPr>
      <t>Brho2Energy</t>
    </r>
    <r>
      <rPr>
        <sz val="10"/>
        <rFont val="Arial"/>
        <family val="2"/>
      </rPr>
      <t xml:space="preserve"> ( Brho, Mass, q)</t>
    </r>
  </si>
  <si>
    <r>
      <rPr>
        <b/>
        <sz val="10"/>
        <rFont val="Arial"/>
        <family val="2"/>
      </rPr>
      <t>Brho2Momentum</t>
    </r>
    <r>
      <rPr>
        <sz val="10"/>
        <rFont val="Arial"/>
        <family val="2"/>
      </rPr>
      <t xml:space="preserve"> ( Brho, q )</t>
    </r>
  </si>
  <si>
    <r>
      <rPr>
        <b/>
        <sz val="10"/>
        <rFont val="Arial"/>
        <family val="2"/>
      </rPr>
      <t>BrhoEnergy2Q</t>
    </r>
    <r>
      <rPr>
        <sz val="10"/>
        <rFont val="Arial"/>
        <family val="2"/>
      </rPr>
      <t xml:space="preserve"> ( Brho, Energy, Mass)</t>
    </r>
  </si>
  <si>
    <r>
      <rPr>
        <b/>
        <sz val="10"/>
        <rFont val="Arial"/>
        <family val="2"/>
      </rPr>
      <t>Charge_dQ</t>
    </r>
    <r>
      <rPr>
        <sz val="10"/>
        <rFont val="Arial"/>
        <family val="2"/>
      </rPr>
      <t xml:space="preserve"> ( Energy, Z_particle, Z_target, Option )</t>
    </r>
  </si>
  <si>
    <r>
      <rPr>
        <b/>
        <sz val="10"/>
        <rFont val="Arial"/>
        <family val="2"/>
      </rPr>
      <t>Charge_Qmean</t>
    </r>
    <r>
      <rPr>
        <sz val="10"/>
        <rFont val="Arial"/>
        <family val="2"/>
      </rPr>
      <t xml:space="preserve"> ( Energy, Z_particle, Z_target, Option )</t>
    </r>
  </si>
  <si>
    <r>
      <rPr>
        <b/>
        <sz val="10"/>
        <rFont val="Arial"/>
        <family val="2"/>
      </rPr>
      <t>ChargeState</t>
    </r>
    <r>
      <rPr>
        <sz val="10"/>
        <rFont val="Arial"/>
        <family val="2"/>
      </rPr>
      <t xml:space="preserve"> ( Energy, Z_particle, Z_target, Z-q )</t>
    </r>
  </si>
  <si>
    <r>
      <rPr>
        <b/>
        <sz val="10"/>
        <rFont val="Arial"/>
        <family val="2"/>
      </rPr>
      <t>ChargeState_option</t>
    </r>
    <r>
      <rPr>
        <sz val="10"/>
        <rFont val="Arial"/>
        <family val="2"/>
      </rPr>
      <t xml:space="preserve"> ( Energy, Z_particle, Z_target, Z-q, Option )</t>
    </r>
  </si>
  <si>
    <r>
      <rPr>
        <b/>
        <sz val="10"/>
        <rFont val="Arial"/>
        <family val="2"/>
      </rPr>
      <t>Energy2Beta</t>
    </r>
    <r>
      <rPr>
        <sz val="10"/>
        <rFont val="Arial"/>
        <family val="2"/>
      </rPr>
      <t xml:space="preserve"> ( Energy)</t>
    </r>
  </si>
  <si>
    <r>
      <rPr>
        <b/>
        <sz val="10"/>
        <rFont val="Arial"/>
        <family val="2"/>
      </rPr>
      <t>Energy2Brho</t>
    </r>
    <r>
      <rPr>
        <sz val="10"/>
        <rFont val="Arial"/>
        <family val="2"/>
      </rPr>
      <t xml:space="preserve"> ( Energy, Mass, Q )</t>
    </r>
  </si>
  <si>
    <r>
      <rPr>
        <b/>
        <sz val="10"/>
        <rFont val="Arial"/>
        <family val="2"/>
      </rPr>
      <t>Energy2Gamma</t>
    </r>
    <r>
      <rPr>
        <sz val="10"/>
        <rFont val="Arial"/>
        <family val="2"/>
      </rPr>
      <t xml:space="preserve"> ( Energy )</t>
    </r>
  </si>
  <si>
    <r>
      <rPr>
        <b/>
        <sz val="10"/>
        <rFont val="Arial"/>
        <family val="2"/>
      </rPr>
      <t>Energy2Momentum</t>
    </r>
    <r>
      <rPr>
        <sz val="10"/>
        <rFont val="Arial"/>
        <family val="2"/>
      </rPr>
      <t xml:space="preserve"> ( Energy, Mass )</t>
    </r>
  </si>
  <si>
    <r>
      <rPr>
        <b/>
        <sz val="10"/>
        <rFont val="Arial"/>
        <family val="2"/>
      </rPr>
      <t xml:space="preserve">EnergyLossInMatter </t>
    </r>
    <r>
      <rPr>
        <sz val="10"/>
        <rFont val="Arial"/>
        <family val="2"/>
      </rPr>
      <t xml:space="preserve">( Z_particle, A_particle, Energy, Z_target , Thickness </t>
    </r>
    <r>
      <rPr>
        <sz val="7"/>
        <rFont val="Arial"/>
        <family val="2"/>
      </rPr>
      <t>(mg/cm2)</t>
    </r>
    <r>
      <rPr>
        <sz val="10"/>
        <rFont val="Arial"/>
        <family val="2"/>
      </rPr>
      <t xml:space="preserve"> )</t>
    </r>
  </si>
  <si>
    <r>
      <rPr>
        <b/>
        <sz val="10"/>
        <rFont val="Arial"/>
        <family val="2"/>
      </rPr>
      <t>EPAX215</t>
    </r>
    <r>
      <rPr>
        <sz val="10"/>
        <rFont val="Arial"/>
        <family val="2"/>
      </rPr>
      <t xml:space="preserve"> ( Abeam, Zbeam, Atarget, Ztarget, Afrag, Zfrag )</t>
    </r>
  </si>
  <si>
    <r>
      <rPr>
        <b/>
        <sz val="10"/>
        <rFont val="Arial"/>
        <family val="2"/>
      </rPr>
      <t>EPAX301</t>
    </r>
    <r>
      <rPr>
        <sz val="10"/>
        <rFont val="Arial"/>
        <family val="2"/>
      </rPr>
      <t xml:space="preserve"> ( Abeam, Zbeam, Atarget, Ztarget, Afrag, Zfrag )</t>
    </r>
  </si>
  <si>
    <r>
      <rPr>
        <b/>
        <sz val="10"/>
        <rFont val="Arial"/>
        <family val="2"/>
      </rPr>
      <t>Erho2Beta</t>
    </r>
    <r>
      <rPr>
        <sz val="10"/>
        <rFont val="Arial"/>
        <family val="2"/>
      </rPr>
      <t xml:space="preserve"> ( Erho, Mass,Q )</t>
    </r>
  </si>
  <si>
    <r>
      <rPr>
        <b/>
        <sz val="10"/>
        <rFont val="Arial"/>
        <family val="2"/>
      </rPr>
      <t>Erho2Brho</t>
    </r>
    <r>
      <rPr>
        <sz val="10"/>
        <rFont val="Arial"/>
        <family val="2"/>
      </rPr>
      <t xml:space="preserve"> ( Erho, Mass,Q )</t>
    </r>
  </si>
  <si>
    <r>
      <rPr>
        <b/>
        <sz val="10"/>
        <rFont val="Arial"/>
        <family val="2"/>
      </rPr>
      <t>Erho2Energy</t>
    </r>
    <r>
      <rPr>
        <sz val="10"/>
        <rFont val="Arial"/>
        <family val="2"/>
      </rPr>
      <t xml:space="preserve"> ( Erho, Mass,Q )</t>
    </r>
  </si>
  <si>
    <r>
      <rPr>
        <b/>
        <sz val="10"/>
        <rFont val="Arial"/>
        <family val="2"/>
      </rPr>
      <t>Find_Line</t>
    </r>
    <r>
      <rPr>
        <sz val="10"/>
        <rFont val="Arial"/>
        <family val="2"/>
      </rPr>
      <t xml:space="preserve"> ( x1, y1, x2, y2, X)</t>
    </r>
  </si>
  <si>
    <r>
      <rPr>
        <b/>
        <sz val="10"/>
        <rFont val="Arial"/>
        <family val="2"/>
      </rPr>
      <t xml:space="preserve">Find_Parabola </t>
    </r>
    <r>
      <rPr>
        <sz val="10"/>
        <rFont val="Arial"/>
        <family val="2"/>
      </rPr>
      <t>( x1, y1, x2, y2, x3, y3, X )</t>
    </r>
  </si>
  <si>
    <r>
      <rPr>
        <b/>
        <sz val="10"/>
        <rFont val="Arial"/>
        <family val="2"/>
      </rPr>
      <t>Gamma2Beta</t>
    </r>
    <r>
      <rPr>
        <sz val="10"/>
        <rFont val="Arial"/>
        <family val="2"/>
      </rPr>
      <t xml:space="preserve"> ( gamma )</t>
    </r>
  </si>
  <si>
    <r>
      <rPr>
        <b/>
        <sz val="10"/>
        <rFont val="Arial"/>
        <family val="2"/>
      </rPr>
      <t>Gamma2Energy</t>
    </r>
    <r>
      <rPr>
        <sz val="10"/>
        <rFont val="Arial"/>
        <family val="2"/>
      </rPr>
      <t xml:space="preserve"> ( gamma )</t>
    </r>
  </si>
  <si>
    <r>
      <rPr>
        <b/>
        <sz val="10"/>
        <rFont val="Arial"/>
        <family val="2"/>
      </rPr>
      <t>EnergyLossInMatter_option</t>
    </r>
    <r>
      <rPr>
        <b/>
        <sz val="8"/>
        <rFont val="Arial"/>
        <family val="2"/>
      </rPr>
      <t xml:space="preserve"> </t>
    </r>
    <r>
      <rPr>
        <sz val="8"/>
        <rFont val="Arial"/>
        <family val="2"/>
      </rPr>
      <t xml:space="preserve">( Z_particle, A_particle, Energy, Z_target , Thick </t>
    </r>
    <r>
      <rPr>
        <sz val="6"/>
        <rFont val="Arial"/>
        <family val="2"/>
      </rPr>
      <t>(mg/cm2)</t>
    </r>
    <r>
      <rPr>
        <sz val="8"/>
        <rFont val="Arial"/>
        <family val="2"/>
      </rPr>
      <t>, Option )</t>
    </r>
  </si>
  <si>
    <r>
      <rPr>
        <b/>
        <sz val="10"/>
        <rFont val="Arial"/>
        <family val="2"/>
      </rPr>
      <t>GlobalCode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( [Z-q]_out, Ab, Zb, [Z-q]_in, Energy, At, Zt, Thick (mg/cm2)</t>
    </r>
    <r>
      <rPr>
        <sz val="10"/>
        <rFont val="Arial"/>
        <family val="2"/>
      </rPr>
      <t>, Option, Fast )</t>
    </r>
  </si>
  <si>
    <r>
      <rPr>
        <b/>
        <sz val="10"/>
        <rFont val="Arial"/>
        <family val="2"/>
      </rPr>
      <t>Interpolate2</t>
    </r>
    <r>
      <rPr>
        <sz val="10"/>
        <rFont val="Arial"/>
        <family val="2"/>
      </rPr>
      <t xml:space="preserve"> ( X_array, Y_array, X )</t>
    </r>
  </si>
  <si>
    <r>
      <rPr>
        <b/>
        <sz val="10"/>
        <rFont val="Arial"/>
        <family val="2"/>
      </rPr>
      <t>Interpolate3</t>
    </r>
    <r>
      <rPr>
        <sz val="10"/>
        <rFont val="Arial"/>
        <family val="2"/>
      </rPr>
      <t xml:space="preserve"> ( X_array, Y_array, X )</t>
    </r>
  </si>
  <si>
    <r>
      <rPr>
        <b/>
        <sz val="10"/>
        <rFont val="Arial"/>
        <family val="2"/>
      </rPr>
      <t>Mass</t>
    </r>
    <r>
      <rPr>
        <sz val="10"/>
        <rFont val="Arial"/>
        <family val="2"/>
      </rPr>
      <t xml:space="preserve"> (Z)</t>
    </r>
  </si>
  <si>
    <r>
      <rPr>
        <b/>
        <sz val="10"/>
        <rFont val="Arial"/>
        <family val="2"/>
      </rPr>
      <t>MassIon</t>
    </r>
    <r>
      <rPr>
        <sz val="10"/>
        <rFont val="Arial"/>
        <family val="2"/>
      </rPr>
      <t xml:space="preserve"> ( Z, A, q )</t>
    </r>
  </si>
  <si>
    <r>
      <rPr>
        <b/>
        <sz val="10"/>
        <rFont val="Arial"/>
        <family val="2"/>
      </rPr>
      <t>MassIsotope</t>
    </r>
    <r>
      <rPr>
        <sz val="10"/>
        <rFont val="Arial"/>
        <family val="2"/>
      </rPr>
      <t xml:space="preserve"> ( Z, A )</t>
    </r>
  </si>
  <si>
    <r>
      <rPr>
        <b/>
        <sz val="10"/>
        <rFont val="Arial"/>
        <family val="2"/>
      </rPr>
      <t>MatricesMult</t>
    </r>
    <r>
      <rPr>
        <sz val="10"/>
        <rFont val="Arial"/>
        <family val="2"/>
      </rPr>
      <t xml:space="preserve"> ( Matrix1, Matrix2, Row, Column )</t>
    </r>
  </si>
  <si>
    <r>
      <rPr>
        <b/>
        <sz val="10"/>
        <rFont val="Arial"/>
        <family val="2"/>
      </rPr>
      <t>Matrix2OrderVectorMult</t>
    </r>
    <r>
      <rPr>
        <sz val="10"/>
        <rFont val="Arial"/>
        <family val="2"/>
      </rPr>
      <t xml:space="preserve">( Matrix, Vector ) </t>
    </r>
  </si>
  <si>
    <r>
      <rPr>
        <b/>
        <sz val="10"/>
        <rFont val="Arial"/>
        <family val="2"/>
      </rPr>
      <t>MatrixElement</t>
    </r>
    <r>
      <rPr>
        <sz val="10"/>
        <rFont val="Arial"/>
        <family val="2"/>
      </rPr>
      <t xml:space="preserve"> ( Matrix, Row, Column )</t>
    </r>
  </si>
  <si>
    <r>
      <rPr>
        <b/>
        <sz val="10"/>
        <rFont val="Arial"/>
        <family val="2"/>
      </rPr>
      <t>MatrixVectorMult</t>
    </r>
    <r>
      <rPr>
        <sz val="10"/>
        <rFont val="Arial"/>
        <family val="2"/>
      </rPr>
      <t xml:space="preserve"> ( Matrix, Vector, Row )</t>
    </r>
  </si>
  <si>
    <r>
      <rPr>
        <b/>
        <sz val="10"/>
        <rFont val="Arial"/>
        <family val="2"/>
      </rPr>
      <t>MatrixVectorSumSquare</t>
    </r>
    <r>
      <rPr>
        <sz val="10"/>
        <rFont val="Arial"/>
        <family val="2"/>
      </rPr>
      <t xml:space="preserve"> ( Matrix, Vector, Row )</t>
    </r>
  </si>
  <si>
    <r>
      <rPr>
        <b/>
        <sz val="10"/>
        <rFont val="Arial"/>
        <family val="2"/>
      </rPr>
      <t xml:space="preserve">Mg2Mkm </t>
    </r>
    <r>
      <rPr>
        <sz val="10"/>
        <rFont val="Arial"/>
        <family val="2"/>
      </rPr>
      <t>( ThickMg, Z )</t>
    </r>
  </si>
  <si>
    <r>
      <rPr>
        <b/>
        <sz val="10"/>
        <rFont val="Arial"/>
        <family val="2"/>
      </rPr>
      <t xml:space="preserve">Mkm2Mg </t>
    </r>
    <r>
      <rPr>
        <sz val="10"/>
        <rFont val="Arial"/>
        <family val="2"/>
      </rPr>
      <t>( ThickMkm, Z )</t>
    </r>
  </si>
  <si>
    <r>
      <rPr>
        <b/>
        <sz val="10"/>
        <rFont val="Arial"/>
        <family val="2"/>
      </rPr>
      <t>Momentum2Brho</t>
    </r>
    <r>
      <rPr>
        <sz val="10"/>
        <rFont val="Arial"/>
        <family val="2"/>
      </rPr>
      <t xml:space="preserve"> ( Momentum, Q )</t>
    </r>
  </si>
  <si>
    <r>
      <rPr>
        <b/>
        <sz val="10"/>
        <rFont val="Arial"/>
        <family val="2"/>
      </rPr>
      <t>Momentum2Energy</t>
    </r>
    <r>
      <rPr>
        <sz val="10"/>
        <rFont val="Arial"/>
        <family val="2"/>
      </rPr>
      <t xml:space="preserve"> ( Momentum, Mass )</t>
    </r>
  </si>
  <si>
    <r>
      <rPr>
        <b/>
        <sz val="10"/>
        <rFont val="Arial"/>
        <family val="2"/>
      </rPr>
      <t>MyGauss</t>
    </r>
    <r>
      <rPr>
        <sz val="10"/>
        <rFont val="Arial"/>
        <family val="2"/>
      </rPr>
      <t xml:space="preserve"> ( X, X_mean, Sigma)</t>
    </r>
  </si>
  <si>
    <r>
      <rPr>
        <b/>
        <sz val="10"/>
        <rFont val="Arial"/>
        <family val="2"/>
      </rPr>
      <t>MyGaussAsym</t>
    </r>
    <r>
      <rPr>
        <sz val="10"/>
        <rFont val="Arial"/>
        <family val="2"/>
      </rPr>
      <t xml:space="preserve"> ( X, X_peak, Sigma, Asymmetry )</t>
    </r>
  </si>
  <si>
    <r>
      <rPr>
        <b/>
        <sz val="10"/>
        <rFont val="Arial"/>
        <family val="2"/>
      </rPr>
      <t>NumberEvents</t>
    </r>
    <r>
      <rPr>
        <sz val="10"/>
        <rFont val="Arial"/>
        <family val="2"/>
      </rPr>
      <t xml:space="preserve"> ( A_target, CS (mb), Flux , TargetThickness</t>
    </r>
    <r>
      <rPr>
        <sz val="7"/>
        <rFont val="Arial"/>
        <family val="2"/>
      </rPr>
      <t xml:space="preserve"> (mg/cm2)</t>
    </r>
    <r>
      <rPr>
        <sz val="10"/>
        <rFont val="Arial"/>
        <family val="2"/>
      </rPr>
      <t xml:space="preserve"> )</t>
    </r>
  </si>
  <si>
    <r>
      <rPr>
        <b/>
        <sz val="10"/>
        <rFont val="Arial"/>
        <family val="2"/>
      </rPr>
      <t>RangeInMatter</t>
    </r>
    <r>
      <rPr>
        <sz val="10"/>
        <rFont val="Arial"/>
        <family val="2"/>
      </rPr>
      <t xml:space="preserve"> ( Zparticle, Aparticle, Energy, Ztarget )</t>
    </r>
  </si>
  <si>
    <r>
      <rPr>
        <b/>
        <sz val="10"/>
        <rFont val="Arial"/>
        <family val="2"/>
      </rPr>
      <t>RangeInMatter_optiuon</t>
    </r>
    <r>
      <rPr>
        <sz val="10"/>
        <rFont val="Arial"/>
        <family val="2"/>
      </rPr>
      <t xml:space="preserve"> ( Zparticle, Aparticle, Energy, Ztarget, Range_option )</t>
    </r>
  </si>
  <si>
    <r>
      <rPr>
        <b/>
        <sz val="10"/>
        <rFont val="Arial"/>
        <family val="2"/>
      </rPr>
      <t xml:space="preserve">S_Accident </t>
    </r>
    <r>
      <rPr>
        <sz val="10"/>
        <rFont val="Arial"/>
        <family val="2"/>
      </rPr>
      <t>( Average, Sigma )</t>
    </r>
  </si>
  <si>
    <r>
      <rPr>
        <b/>
        <sz val="10"/>
        <rFont val="Arial"/>
        <family val="2"/>
      </rPr>
      <t>S_AreaXY</t>
    </r>
    <r>
      <rPr>
        <sz val="10"/>
        <rFont val="Arial"/>
        <family val="2"/>
      </rPr>
      <t xml:space="preserve"> ( X_array, Y_array )</t>
    </r>
  </si>
  <si>
    <r>
      <rPr>
        <b/>
        <sz val="10"/>
        <rFont val="Arial"/>
        <family val="2"/>
      </rPr>
      <t>S_AreaXYwithError</t>
    </r>
    <r>
      <rPr>
        <sz val="10"/>
        <rFont val="Arial"/>
        <family val="2"/>
      </rPr>
      <t xml:space="preserve"> ( X_array, Y_array, Yerror_array, Ref [0-Area/1-dArea] )</t>
    </r>
  </si>
  <si>
    <r>
      <rPr>
        <b/>
        <sz val="10"/>
        <rFont val="Arial"/>
        <family val="2"/>
      </rPr>
      <t>S_AssymXY</t>
    </r>
    <r>
      <rPr>
        <sz val="10"/>
        <rFont val="Arial"/>
        <family val="2"/>
      </rPr>
      <t xml:space="preserve"> ( Xmean(XY), Sigma(XY), X_array, Y_array )</t>
    </r>
  </si>
  <si>
    <r>
      <rPr>
        <b/>
        <sz val="10"/>
        <rFont val="Arial"/>
        <family val="2"/>
      </rPr>
      <t xml:space="preserve">S_AverageXwithError </t>
    </r>
    <r>
      <rPr>
        <sz val="10"/>
        <rFont val="Arial"/>
        <family val="2"/>
      </rPr>
      <t>( X_array, Xerror_array, Ref [0-Area/1-dArea] )</t>
    </r>
  </si>
  <si>
    <r>
      <rPr>
        <b/>
        <sz val="10"/>
        <rFont val="Arial"/>
        <family val="2"/>
      </rPr>
      <t>S_AverageXY</t>
    </r>
    <r>
      <rPr>
        <sz val="10"/>
        <rFont val="Arial"/>
        <family val="2"/>
      </rPr>
      <t xml:space="preserve"> ( X_array, Y_array )</t>
    </r>
  </si>
  <si>
    <r>
      <rPr>
        <b/>
        <sz val="10"/>
        <rFont val="Arial"/>
        <family val="2"/>
      </rPr>
      <t xml:space="preserve">S_AverageXY_Error </t>
    </r>
    <r>
      <rPr>
        <sz val="10"/>
        <rFont val="Arial"/>
        <family val="2"/>
      </rPr>
      <t>( X_array, Y_array )</t>
    </r>
  </si>
  <si>
    <r>
      <rPr>
        <b/>
        <sz val="10"/>
        <rFont val="Arial"/>
        <family val="2"/>
      </rPr>
      <t>S_AverageXY_Error_instr</t>
    </r>
    <r>
      <rPr>
        <sz val="10"/>
        <rFont val="Arial"/>
        <family val="2"/>
      </rPr>
      <t xml:space="preserve"> ( X_array, Y_array, Error_array )</t>
    </r>
  </si>
  <si>
    <r>
      <rPr>
        <b/>
        <sz val="10"/>
        <rFont val="Arial"/>
        <family val="2"/>
      </rPr>
      <t>S_chi_sq</t>
    </r>
    <r>
      <rPr>
        <sz val="10"/>
        <rFont val="Arial"/>
        <family val="2"/>
      </rPr>
      <t xml:space="preserve">  ( Experimental value,  Calculated value )</t>
    </r>
  </si>
  <si>
    <r>
      <rPr>
        <b/>
        <sz val="10"/>
        <rFont val="Arial"/>
        <family val="2"/>
      </rPr>
      <t>S_chi_sq_sum</t>
    </r>
    <r>
      <rPr>
        <sz val="10"/>
        <rFont val="Arial"/>
        <family val="2"/>
      </rPr>
      <t xml:space="preserve">  ( Experimental array,  Calculated array )</t>
    </r>
  </si>
  <si>
    <r>
      <rPr>
        <b/>
        <sz val="10"/>
        <rFont val="Arial"/>
        <family val="2"/>
      </rPr>
      <t xml:space="preserve">S_rounded_rectangle </t>
    </r>
    <r>
      <rPr>
        <sz val="10"/>
        <rFont val="Arial"/>
        <family val="2"/>
      </rPr>
      <t>( X, left Boundary, Right Boundary, Sigma)</t>
    </r>
  </si>
  <si>
    <r>
      <rPr>
        <b/>
        <sz val="10"/>
        <rFont val="Arial"/>
        <family val="2"/>
      </rPr>
      <t>S_SigmaXY</t>
    </r>
    <r>
      <rPr>
        <sz val="10"/>
        <rFont val="Arial"/>
        <family val="2"/>
      </rPr>
      <t xml:space="preserve"> ( XmeanXY, X_array, Y_array )</t>
    </r>
  </si>
  <si>
    <r>
      <rPr>
        <b/>
        <sz val="10"/>
        <rFont val="Arial"/>
        <family val="2"/>
      </rPr>
      <t xml:space="preserve">S_SigmaXY_error </t>
    </r>
    <r>
      <rPr>
        <sz val="10"/>
        <rFont val="Arial"/>
        <family val="2"/>
      </rPr>
      <t>( X_array, Y_array )</t>
    </r>
  </si>
  <si>
    <r>
      <rPr>
        <b/>
        <sz val="10"/>
        <rFont val="Arial"/>
        <family val="2"/>
      </rPr>
      <t xml:space="preserve">S_SigmaXY_Error_instr </t>
    </r>
    <r>
      <rPr>
        <sz val="10"/>
        <rFont val="Arial"/>
        <family val="2"/>
      </rPr>
      <t>( X_array, Y_array, E_array )</t>
    </r>
  </si>
  <si>
    <r>
      <rPr>
        <b/>
        <sz val="10"/>
        <rFont val="Arial"/>
        <family val="2"/>
      </rPr>
      <t xml:space="preserve">SchiwietzGas </t>
    </r>
    <r>
      <rPr>
        <sz val="10"/>
        <rFont val="Arial"/>
        <family val="2"/>
      </rPr>
      <t>( Energy, Z_particle, Z_target, Z-q )</t>
    </r>
  </si>
  <si>
    <r>
      <rPr>
        <b/>
        <sz val="10"/>
        <rFont val="Arial"/>
        <family val="2"/>
      </rPr>
      <t>Show_Element</t>
    </r>
    <r>
      <rPr>
        <sz val="10"/>
        <rFont val="Arial"/>
        <family val="2"/>
      </rPr>
      <t xml:space="preserve"> ( Z_element )</t>
    </r>
  </si>
  <si>
    <r>
      <t>S</t>
    </r>
    <r>
      <rPr>
        <b/>
        <sz val="10"/>
        <rFont val="Arial"/>
        <family val="2"/>
      </rPr>
      <t xml:space="preserve">how_Z </t>
    </r>
    <r>
      <rPr>
        <sz val="10"/>
        <rFont val="Arial"/>
        <family val="2"/>
      </rPr>
      <t>( Name of element )</t>
    </r>
  </si>
  <si>
    <r>
      <rPr>
        <b/>
        <sz val="10"/>
        <rFont val="Arial"/>
        <family val="2"/>
      </rPr>
      <t>ShowOption</t>
    </r>
    <r>
      <rPr>
        <sz val="10"/>
        <rFont val="Arial"/>
        <family val="2"/>
      </rPr>
      <t xml:space="preserve"> ( Option )</t>
    </r>
  </si>
  <si>
    <r>
      <rPr>
        <b/>
        <sz val="10"/>
        <rFont val="Arial"/>
        <family val="2"/>
      </rPr>
      <t xml:space="preserve">StoppingPower </t>
    </r>
    <r>
      <rPr>
        <sz val="10"/>
        <rFont val="Arial"/>
        <family val="2"/>
      </rPr>
      <t>( Z_particle, A_particle, Energy, Z_target, Option )</t>
    </r>
  </si>
  <si>
    <r>
      <rPr>
        <b/>
        <sz val="10"/>
        <rFont val="Arial"/>
        <family val="2"/>
      </rPr>
      <t xml:space="preserve">StragglingEnergy </t>
    </r>
    <r>
      <rPr>
        <sz val="10"/>
        <rFont val="Arial"/>
        <family val="2"/>
      </rPr>
      <t>( Z_particle, A_particle, Energy, Z_target, Thickness )</t>
    </r>
  </si>
  <si>
    <r>
      <rPr>
        <b/>
        <sz val="10"/>
        <rFont val="Arial"/>
        <family val="2"/>
      </rPr>
      <t xml:space="preserve">StragglingRange </t>
    </r>
    <r>
      <rPr>
        <sz val="10"/>
        <rFont val="Arial"/>
        <family val="2"/>
      </rPr>
      <t>( Z_particle, A_particle, Energy, Z_target )</t>
    </r>
  </si>
  <si>
    <t>you may change values of top cells</t>
  </si>
  <si>
    <r>
      <t xml:space="preserve">% </t>
    </r>
    <r>
      <rPr>
        <i/>
        <sz val="8"/>
        <color theme="1"/>
        <rFont val="Calibri"/>
        <family val="2"/>
        <scheme val="minor"/>
      </rPr>
      <t>(straggling)</t>
    </r>
  </si>
  <si>
    <t>straggling</t>
  </si>
  <si>
    <t>FRACS</t>
  </si>
  <si>
    <t>Cross section
(FRACS)
[mb]</t>
  </si>
  <si>
    <t>Zparticle, Aparticle,
Ztarget, Atarget,
Zfragment, Afragment,Eproj</t>
  </si>
  <si>
    <r>
      <rPr>
        <b/>
        <sz val="10"/>
        <rFont val="Arial"/>
        <family val="2"/>
      </rPr>
      <t>FRACS</t>
    </r>
    <r>
      <rPr>
        <sz val="10"/>
        <rFont val="Arial"/>
        <family val="2"/>
      </rPr>
      <t xml:space="preserve"> ( Abeam, Zbeam, Atarget, Ztarget, Afrag, Zfrag, Ebeam )</t>
    </r>
  </si>
  <si>
    <t>Energy</t>
  </si>
  <si>
    <t>stepE=</t>
  </si>
  <si>
    <t>Range</t>
  </si>
  <si>
    <t xml:space="preserve">Z (Eloss) = </t>
  </si>
  <si>
    <t>Z(A/q)=</t>
  </si>
  <si>
    <t>dA_shift=</t>
  </si>
  <si>
    <t>A_2 =</t>
  </si>
  <si>
    <t>M_isotope_2 =</t>
  </si>
  <si>
    <t>M_ion_2 =</t>
  </si>
  <si>
    <t xml:space="preserve">M_ion/q_2 = </t>
  </si>
  <si>
    <t>beta_2 =</t>
  </si>
  <si>
    <t>gamma_2 =</t>
  </si>
  <si>
    <t>velocity_2 =</t>
  </si>
  <si>
    <t>A / q_2 =</t>
  </si>
  <si>
    <t>Energy_2 =</t>
  </si>
  <si>
    <t>Z_2 =</t>
  </si>
  <si>
    <t>q_2 =</t>
  </si>
  <si>
    <t>TOF_2 =</t>
  </si>
  <si>
    <t>Z1</t>
  </si>
  <si>
    <t>MoQ1_int =</t>
  </si>
  <si>
    <t>betaS_up</t>
  </si>
  <si>
    <t>gammaS_up</t>
  </si>
  <si>
    <t>betaS2_up</t>
  </si>
  <si>
    <t>betaS2</t>
  </si>
  <si>
    <t>A/q_2</t>
  </si>
  <si>
    <t>A / q 2</t>
  </si>
  <si>
    <t>A/ q (2)=</t>
  </si>
  <si>
    <t>da_q1</t>
  </si>
  <si>
    <t>da_q2</t>
  </si>
  <si>
    <t>sum</t>
  </si>
  <si>
    <t>gamma1</t>
  </si>
  <si>
    <t>gamma2</t>
  </si>
  <si>
    <t>version 1.4a from 04/08/2019</t>
  </si>
  <si>
    <t>Z (from A/q)**=</t>
  </si>
  <si>
    <t>Z (from Aint/q)**=</t>
  </si>
  <si>
    <t>** is used only for light elements</t>
  </si>
  <si>
    <t>version from 08-APR-2019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</si>
</sst>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00"/>
    <numFmt numFmtId="166" formatCode="0.0"/>
    <numFmt numFmtId="167" formatCode="0.00000"/>
    <numFmt numFmtId="168" formatCode="0.00000000"/>
    <numFmt numFmtId="169" formatCode="0.000%"/>
    <numFmt numFmtId="170" formatCode="0.000000"/>
  </numFmts>
  <fonts count="73">
    <font>
      <sz val="10"/>
      <name val="Arial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NTHarmonica"/>
      <charset val="204"/>
    </font>
    <font>
      <b/>
      <sz val="10"/>
      <color indexed="10"/>
      <name val="NTHarmonica"/>
      <charset val="204"/>
    </font>
    <font>
      <i/>
      <sz val="8"/>
      <name val="NTHarmonica"/>
      <charset val="204"/>
    </font>
    <font>
      <b/>
      <i/>
      <sz val="8"/>
      <name val="NTHarmonica"/>
      <charset val="204"/>
    </font>
    <font>
      <b/>
      <sz val="10"/>
      <name val="NTHarmonica"/>
      <charset val="204"/>
    </font>
    <font>
      <sz val="14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b/>
      <sz val="10"/>
      <color indexed="12"/>
      <name val="Arial"/>
      <family val="2"/>
    </font>
    <font>
      <sz val="10"/>
      <color indexed="5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color indexed="47"/>
      <name val="Arial"/>
      <family val="2"/>
    </font>
    <font>
      <b/>
      <i/>
      <sz val="10"/>
      <name val="Arial"/>
      <family val="2"/>
    </font>
    <font>
      <b/>
      <i/>
      <sz val="10"/>
      <color indexed="10"/>
      <name val="Arial"/>
      <family val="2"/>
    </font>
    <font>
      <sz val="10"/>
      <color indexed="18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z val="10"/>
      <name val="MS Sans Serif"/>
      <family val="2"/>
    </font>
    <font>
      <b/>
      <sz val="10"/>
      <color indexed="12"/>
      <name val="NTTierce"/>
    </font>
    <font>
      <b/>
      <sz val="9"/>
      <color indexed="12"/>
      <name val="NTTierce"/>
    </font>
    <font>
      <b/>
      <i/>
      <sz val="8"/>
      <color indexed="12"/>
      <name val="NTTierce"/>
    </font>
    <font>
      <sz val="10"/>
      <name val="NTTierce"/>
    </font>
    <font>
      <sz val="9"/>
      <name val="NTTierce"/>
    </font>
    <font>
      <i/>
      <sz val="8"/>
      <name val="NTTierce"/>
    </font>
    <font>
      <b/>
      <sz val="10"/>
      <color indexed="10"/>
      <name val="NTTierce"/>
    </font>
    <font>
      <b/>
      <sz val="12"/>
      <name val="NTTierce"/>
    </font>
    <font>
      <b/>
      <sz val="10"/>
      <name val="NTTierce"/>
    </font>
    <font>
      <b/>
      <i/>
      <sz val="8"/>
      <name val="NTTierce"/>
    </font>
    <font>
      <i/>
      <sz val="8"/>
      <color rgb="FFFFFF00"/>
      <name val="Arial"/>
      <family val="2"/>
    </font>
    <font>
      <u/>
      <sz val="8"/>
      <color indexed="12"/>
      <name val="Arial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b/>
      <sz val="10"/>
      <color theme="1"/>
      <name val="Calibri"/>
      <family val="2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6"/>
      <name val="Arial"/>
      <family val="2"/>
    </font>
    <font>
      <sz val="8"/>
      <color theme="4" tint="-0.249977111117893"/>
      <name val="Arial"/>
      <family val="2"/>
    </font>
    <font>
      <i/>
      <sz val="8"/>
      <color theme="1"/>
      <name val="Calibri"/>
      <family val="2"/>
      <scheme val="minor"/>
    </font>
    <font>
      <i/>
      <sz val="8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u/>
      <sz val="9"/>
      <color indexed="12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7" fillId="0" borderId="0"/>
    <xf numFmtId="0" fontId="5" fillId="0" borderId="0"/>
    <xf numFmtId="9" fontId="5" fillId="0" borderId="0" applyFont="0" applyFill="0" applyBorder="0" applyAlignment="0" applyProtection="0"/>
    <xf numFmtId="9" fontId="62" fillId="0" borderId="0" applyFont="0" applyFill="0" applyBorder="0" applyAlignment="0" applyProtection="0"/>
  </cellStyleXfs>
  <cellXfs count="477">
    <xf numFmtId="0" fontId="0" fillId="0" borderId="0" xfId="0"/>
    <xf numFmtId="0" fontId="6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1" fontId="0" fillId="0" borderId="0" xfId="0" applyNumberFormat="1"/>
    <xf numFmtId="10" fontId="0" fillId="0" borderId="0" xfId="0" applyNumberFormat="1"/>
    <xf numFmtId="0" fontId="8" fillId="2" borderId="0" xfId="3" applyFont="1" applyFill="1" applyAlignment="1">
      <alignment horizontal="center"/>
    </xf>
    <xf numFmtId="0" fontId="8" fillId="3" borderId="1" xfId="3" applyFont="1" applyFill="1" applyBorder="1" applyAlignment="1">
      <alignment horizontal="center"/>
    </xf>
    <xf numFmtId="0" fontId="9" fillId="0" borderId="0" xfId="3" applyFont="1" applyAlignment="1">
      <alignment horizontal="center"/>
    </xf>
    <xf numFmtId="0" fontId="10" fillId="3" borderId="1" xfId="3" applyFont="1" applyFill="1" applyBorder="1" applyAlignment="1">
      <alignment horizontal="center"/>
    </xf>
    <xf numFmtId="0" fontId="7" fillId="0" borderId="0" xfId="3" applyAlignment="1">
      <alignment horizontal="center"/>
    </xf>
    <xf numFmtId="2" fontId="11" fillId="3" borderId="1" xfId="3" applyNumberFormat="1" applyFont="1" applyFill="1" applyBorder="1" applyAlignment="1">
      <alignment horizontal="center"/>
    </xf>
    <xf numFmtId="165" fontId="7" fillId="0" borderId="0" xfId="3" applyNumberFormat="1" applyAlignment="1">
      <alignment horizontal="center"/>
    </xf>
    <xf numFmtId="0" fontId="7" fillId="0" borderId="0" xfId="3"/>
    <xf numFmtId="0" fontId="11" fillId="3" borderId="1" xfId="3" applyFont="1" applyFill="1" applyBorder="1"/>
    <xf numFmtId="0" fontId="11" fillId="4" borderId="0" xfId="0" applyFont="1" applyFill="1" applyAlignment="1">
      <alignment horizontal="center"/>
    </xf>
    <xf numFmtId="0" fontId="0" fillId="2" borderId="0" xfId="0" applyFill="1"/>
    <xf numFmtId="0" fontId="7" fillId="0" borderId="0" xfId="3" applyFont="1"/>
    <xf numFmtId="0" fontId="7" fillId="0" borderId="0" xfId="3" applyFont="1" applyAlignment="1">
      <alignment horizontal="center"/>
    </xf>
    <xf numFmtId="167" fontId="7" fillId="0" borderId="0" xfId="3" applyNumberFormat="1"/>
    <xf numFmtId="0" fontId="17" fillId="3" borderId="0" xfId="0" applyFont="1" applyFill="1" applyAlignment="1" applyProtection="1">
      <alignment horizontal="center" vertical="center" wrapText="1"/>
    </xf>
    <xf numFmtId="0" fontId="17" fillId="5" borderId="0" xfId="0" applyFont="1" applyFill="1" applyAlignment="1" applyProtection="1">
      <alignment horizontal="center" vertical="center" wrapText="1"/>
    </xf>
    <xf numFmtId="0" fontId="17" fillId="6" borderId="0" xfId="0" applyFont="1" applyFill="1" applyAlignment="1" applyProtection="1">
      <alignment horizontal="center" vertical="center" wrapText="1"/>
    </xf>
    <xf numFmtId="0" fontId="0" fillId="3" borderId="0" xfId="0" applyFill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19" fillId="0" borderId="2" xfId="0" applyFont="1" applyBorder="1" applyAlignment="1" applyProtection="1">
      <alignment horizontal="left" vertical="center"/>
    </xf>
    <xf numFmtId="0" fontId="0" fillId="0" borderId="3" xfId="0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right" vertical="center"/>
    </xf>
    <xf numFmtId="0" fontId="18" fillId="3" borderId="5" xfId="0" applyFont="1" applyFill="1" applyBorder="1" applyAlignment="1" applyProtection="1">
      <alignment horizontal="right" vertical="center"/>
    </xf>
    <xf numFmtId="0" fontId="13" fillId="5" borderId="6" xfId="0" applyFont="1" applyFill="1" applyBorder="1" applyAlignment="1" applyProtection="1">
      <alignment horizontal="center" vertical="center"/>
    </xf>
    <xf numFmtId="0" fontId="0" fillId="5" borderId="6" xfId="0" applyFill="1" applyBorder="1" applyAlignment="1" applyProtection="1">
      <alignment horizontal="center" vertical="center" wrapText="1"/>
    </xf>
    <xf numFmtId="0" fontId="20" fillId="0" borderId="7" xfId="0" applyFont="1" applyBorder="1" applyAlignment="1" applyProtection="1">
      <alignment horizontal="left" vertical="center"/>
      <protection locked="0"/>
    </xf>
    <xf numFmtId="0" fontId="20" fillId="0" borderId="8" xfId="0" applyFont="1" applyBorder="1" applyAlignment="1" applyProtection="1">
      <alignment horizontal="left" vertical="center"/>
      <protection locked="0"/>
    </xf>
    <xf numFmtId="0" fontId="20" fillId="0" borderId="9" xfId="0" applyFont="1" applyBorder="1" applyAlignment="1" applyProtection="1">
      <alignment horizontal="left" vertical="center"/>
      <protection locked="0"/>
    </xf>
    <xf numFmtId="0" fontId="13" fillId="5" borderId="6" xfId="0" applyFont="1" applyFill="1" applyBorder="1" applyAlignment="1" applyProtection="1">
      <alignment horizontal="center" vertical="center" wrapText="1"/>
    </xf>
    <xf numFmtId="0" fontId="13" fillId="5" borderId="10" xfId="0" applyFont="1" applyFill="1" applyBorder="1" applyAlignment="1" applyProtection="1">
      <alignment horizontal="center" vertical="center"/>
    </xf>
    <xf numFmtId="0" fontId="0" fillId="5" borderId="10" xfId="0" applyFill="1" applyBorder="1" applyAlignment="1" applyProtection="1">
      <alignment horizontal="center" vertical="center" wrapText="1"/>
    </xf>
    <xf numFmtId="0" fontId="13" fillId="5" borderId="11" xfId="0" applyFont="1" applyFill="1" applyBorder="1" applyAlignment="1" applyProtection="1">
      <alignment horizontal="center" vertical="center" wrapText="1"/>
    </xf>
    <xf numFmtId="0" fontId="0" fillId="5" borderId="11" xfId="0" applyFill="1" applyBorder="1" applyAlignment="1" applyProtection="1">
      <alignment horizontal="center" vertical="center" wrapText="1"/>
    </xf>
    <xf numFmtId="0" fontId="15" fillId="5" borderId="10" xfId="0" applyFont="1" applyFill="1" applyBorder="1" applyAlignment="1" applyProtection="1">
      <alignment horizontal="center" vertical="center" wrapText="1"/>
    </xf>
    <xf numFmtId="0" fontId="15" fillId="5" borderId="12" xfId="0" applyFont="1" applyFill="1" applyBorder="1" applyAlignment="1" applyProtection="1">
      <alignment horizontal="center" vertical="center" wrapText="1"/>
    </xf>
    <xf numFmtId="0" fontId="13" fillId="7" borderId="6" xfId="0" applyFont="1" applyFill="1" applyBorder="1" applyAlignment="1" applyProtection="1">
      <alignment horizontal="center" vertical="center"/>
    </xf>
    <xf numFmtId="0" fontId="0" fillId="7" borderId="6" xfId="0" applyFill="1" applyBorder="1" applyAlignment="1" applyProtection="1">
      <alignment horizontal="center" vertical="center" wrapText="1"/>
    </xf>
    <xf numFmtId="0" fontId="13" fillId="7" borderId="11" xfId="0" applyFont="1" applyFill="1" applyBorder="1" applyAlignment="1" applyProtection="1">
      <alignment horizontal="center" vertical="center"/>
    </xf>
    <xf numFmtId="0" fontId="0" fillId="7" borderId="11" xfId="0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 vertical="center"/>
    </xf>
    <xf numFmtId="0" fontId="12" fillId="8" borderId="14" xfId="0" applyFont="1" applyFill="1" applyBorder="1" applyAlignment="1" applyProtection="1">
      <alignment horizontal="center" vertical="center"/>
    </xf>
    <xf numFmtId="0" fontId="12" fillId="8" borderId="15" xfId="0" applyFont="1" applyFill="1" applyBorder="1" applyAlignment="1" applyProtection="1">
      <alignment horizontal="center" vertical="center"/>
    </xf>
    <xf numFmtId="0" fontId="14" fillId="5" borderId="16" xfId="0" applyFont="1" applyFill="1" applyBorder="1" applyAlignment="1" applyProtection="1">
      <alignment horizontal="center" vertical="center"/>
    </xf>
    <xf numFmtId="0" fontId="14" fillId="5" borderId="17" xfId="0" applyFont="1" applyFill="1" applyBorder="1" applyAlignment="1" applyProtection="1">
      <alignment horizontal="center" vertical="center"/>
    </xf>
    <xf numFmtId="0" fontId="14" fillId="5" borderId="18" xfId="0" applyFont="1" applyFill="1" applyBorder="1" applyAlignment="1" applyProtection="1">
      <alignment horizontal="center" vertical="center"/>
    </xf>
    <xf numFmtId="0" fontId="14" fillId="7" borderId="16" xfId="0" applyFont="1" applyFill="1" applyBorder="1" applyAlignment="1" applyProtection="1">
      <alignment horizontal="center" vertical="center"/>
    </xf>
    <xf numFmtId="0" fontId="14" fillId="7" borderId="17" xfId="0" applyFont="1" applyFill="1" applyBorder="1" applyAlignment="1" applyProtection="1">
      <alignment horizontal="center" vertical="center"/>
    </xf>
    <xf numFmtId="0" fontId="14" fillId="5" borderId="19" xfId="0" applyFont="1" applyFill="1" applyBorder="1" applyAlignment="1" applyProtection="1">
      <alignment horizontal="center" vertical="center"/>
    </xf>
    <xf numFmtId="0" fontId="14" fillId="7" borderId="19" xfId="0" applyFont="1" applyFill="1" applyBorder="1" applyAlignment="1" applyProtection="1">
      <alignment horizontal="center" vertical="center"/>
    </xf>
    <xf numFmtId="0" fontId="15" fillId="7" borderId="12" xfId="0" applyFont="1" applyFill="1" applyBorder="1" applyAlignment="1" applyProtection="1">
      <alignment horizontal="center" vertical="center" wrapText="1"/>
    </xf>
    <xf numFmtId="0" fontId="0" fillId="7" borderId="12" xfId="0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0" fillId="0" borderId="0" xfId="0" applyProtection="1"/>
    <xf numFmtId="2" fontId="15" fillId="5" borderId="6" xfId="0" applyNumberFormat="1" applyFont="1" applyFill="1" applyBorder="1" applyAlignment="1" applyProtection="1">
      <alignment horizontal="center" vertical="center"/>
    </xf>
    <xf numFmtId="0" fontId="15" fillId="5" borderId="6" xfId="0" applyFont="1" applyFill="1" applyBorder="1" applyAlignment="1" applyProtection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</xf>
    <xf numFmtId="165" fontId="15" fillId="7" borderId="6" xfId="0" applyNumberFormat="1" applyFont="1" applyFill="1" applyBorder="1" applyAlignment="1" applyProtection="1">
      <alignment horizontal="center" vertical="center"/>
    </xf>
    <xf numFmtId="0" fontId="15" fillId="7" borderId="11" xfId="0" applyFont="1" applyFill="1" applyBorder="1" applyAlignment="1" applyProtection="1">
      <alignment horizontal="center" vertical="center"/>
    </xf>
    <xf numFmtId="166" fontId="15" fillId="5" borderId="10" xfId="0" applyNumberFormat="1" applyFont="1" applyFill="1" applyBorder="1" applyAlignment="1" applyProtection="1">
      <alignment horizontal="center" vertical="center"/>
    </xf>
    <xf numFmtId="167" fontId="15" fillId="5" borderId="10" xfId="0" applyNumberFormat="1" applyFont="1" applyFill="1" applyBorder="1" applyAlignment="1" applyProtection="1">
      <alignment horizontal="center" vertical="center"/>
    </xf>
    <xf numFmtId="164" fontId="15" fillId="5" borderId="10" xfId="0" applyNumberFormat="1" applyFont="1" applyFill="1" applyBorder="1" applyAlignment="1" applyProtection="1">
      <alignment horizontal="center" vertical="center"/>
    </xf>
    <xf numFmtId="164" fontId="15" fillId="5" borderId="12" xfId="0" applyNumberFormat="1" applyFont="1" applyFill="1" applyBorder="1" applyAlignment="1" applyProtection="1">
      <alignment horizontal="center" vertical="center"/>
    </xf>
    <xf numFmtId="11" fontId="15" fillId="7" borderId="12" xfId="0" applyNumberFormat="1" applyFont="1" applyFill="1" applyBorder="1" applyAlignment="1" applyProtection="1">
      <alignment horizontal="center" vertical="center"/>
    </xf>
    <xf numFmtId="0" fontId="15" fillId="3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6" borderId="0" xfId="0" applyFont="1" applyFill="1" applyAlignment="1" applyProtection="1">
      <alignment horizontal="center" vertical="center"/>
      <protection locked="0"/>
    </xf>
    <xf numFmtId="0" fontId="18" fillId="3" borderId="20" xfId="0" applyFont="1" applyFill="1" applyBorder="1" applyAlignment="1" applyProtection="1">
      <alignment horizontal="right" vertical="center"/>
    </xf>
    <xf numFmtId="167" fontId="15" fillId="7" borderId="6" xfId="0" applyNumberFormat="1" applyFont="1" applyFill="1" applyBorder="1" applyAlignment="1" applyProtection="1">
      <alignment horizontal="center" vertical="center"/>
    </xf>
    <xf numFmtId="0" fontId="13" fillId="7" borderId="6" xfId="0" applyFont="1" applyFill="1" applyBorder="1" applyAlignment="1" applyProtection="1">
      <alignment horizontal="center" vertical="center" wrapText="1"/>
    </xf>
    <xf numFmtId="0" fontId="14" fillId="5" borderId="21" xfId="0" applyFont="1" applyFill="1" applyBorder="1" applyAlignment="1" applyProtection="1">
      <alignment horizontal="center" vertical="center"/>
    </xf>
    <xf numFmtId="0" fontId="13" fillId="5" borderId="22" xfId="0" applyFont="1" applyFill="1" applyBorder="1" applyAlignment="1" applyProtection="1">
      <alignment horizontal="center" vertical="center"/>
    </xf>
    <xf numFmtId="0" fontId="0" fillId="5" borderId="22" xfId="0" applyFill="1" applyBorder="1" applyAlignment="1" applyProtection="1">
      <alignment horizontal="center" vertical="center" wrapText="1"/>
    </xf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28" xfId="0" applyBorder="1" applyAlignment="1" applyProtection="1">
      <alignment horizontal="center"/>
    </xf>
    <xf numFmtId="0" fontId="0" fillId="9" borderId="4" xfId="0" applyFill="1" applyBorder="1" applyAlignment="1" applyProtection="1">
      <alignment horizontal="right"/>
    </xf>
    <xf numFmtId="167" fontId="0" fillId="3" borderId="0" xfId="0" applyNumberFormat="1" applyFill="1" applyBorder="1" applyAlignment="1" applyProtection="1">
      <alignment horizontal="left"/>
      <protection locked="0"/>
    </xf>
    <xf numFmtId="0" fontId="0" fillId="9" borderId="2" xfId="0" applyFill="1" applyBorder="1" applyProtection="1"/>
    <xf numFmtId="165" fontId="0" fillId="3" borderId="0" xfId="0" applyNumberFormat="1" applyFill="1" applyBorder="1" applyAlignment="1" applyProtection="1">
      <alignment horizontal="left"/>
      <protection locked="0"/>
    </xf>
    <xf numFmtId="0" fontId="0" fillId="9" borderId="5" xfId="0" applyFill="1" applyBorder="1" applyAlignment="1" applyProtection="1">
      <alignment horizontal="right"/>
    </xf>
    <xf numFmtId="167" fontId="0" fillId="9" borderId="28" xfId="0" applyNumberFormat="1" applyFill="1" applyBorder="1" applyAlignment="1" applyProtection="1">
      <alignment horizontal="left"/>
    </xf>
    <xf numFmtId="0" fontId="0" fillId="9" borderId="3" xfId="0" applyFill="1" applyBorder="1" applyProtection="1"/>
    <xf numFmtId="164" fontId="0" fillId="3" borderId="0" xfId="0" applyNumberFormat="1" applyFill="1" applyBorder="1" applyAlignment="1" applyProtection="1">
      <alignment horizontal="left"/>
      <protection locked="0"/>
    </xf>
    <xf numFmtId="164" fontId="0" fillId="3" borderId="28" xfId="0" applyNumberFormat="1" applyFill="1" applyBorder="1" applyAlignment="1" applyProtection="1">
      <alignment horizontal="left"/>
      <protection locked="0"/>
    </xf>
    <xf numFmtId="2" fontId="0" fillId="3" borderId="28" xfId="0" applyNumberFormat="1" applyFill="1" applyBorder="1" applyAlignment="1" applyProtection="1">
      <alignment horizontal="left"/>
      <protection locked="0"/>
    </xf>
    <xf numFmtId="166" fontId="0" fillId="3" borderId="28" xfId="0" applyNumberFormat="1" applyFill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0" fontId="0" fillId="3" borderId="0" xfId="0" applyFill="1" applyBorder="1" applyAlignment="1" applyProtection="1">
      <alignment horizontal="left"/>
      <protection locked="0"/>
    </xf>
    <xf numFmtId="0" fontId="0" fillId="9" borderId="0" xfId="0" applyFill="1" applyBorder="1" applyAlignment="1" applyProtection="1">
      <alignment horizontal="left"/>
    </xf>
    <xf numFmtId="167" fontId="0" fillId="3" borderId="28" xfId="0" applyNumberFormat="1" applyFill="1" applyBorder="1" applyAlignment="1" applyProtection="1">
      <alignment horizontal="left"/>
      <protection locked="0"/>
    </xf>
    <xf numFmtId="0" fontId="0" fillId="9" borderId="0" xfId="0" applyFill="1" applyBorder="1" applyProtection="1"/>
    <xf numFmtId="164" fontId="0" fillId="9" borderId="0" xfId="0" applyNumberFormat="1" applyFill="1" applyBorder="1" applyAlignment="1" applyProtection="1">
      <alignment horizontal="left"/>
    </xf>
    <xf numFmtId="0" fontId="0" fillId="3" borderId="0" xfId="0" applyFill="1" applyAlignment="1" applyProtection="1">
      <alignment horizontal="center"/>
    </xf>
    <xf numFmtId="0" fontId="0" fillId="9" borderId="0" xfId="0" applyFill="1" applyAlignment="1" applyProtection="1">
      <alignment horizontal="center"/>
    </xf>
    <xf numFmtId="168" fontId="0" fillId="9" borderId="0" xfId="0" applyNumberFormat="1" applyFill="1" applyBorder="1" applyAlignment="1" applyProtection="1">
      <alignment horizontal="left"/>
    </xf>
    <xf numFmtId="0" fontId="24" fillId="0" borderId="23" xfId="0" applyFont="1" applyBorder="1" applyAlignment="1" applyProtection="1">
      <alignment horizontal="center" vertical="center"/>
    </xf>
    <xf numFmtId="0" fontId="0" fillId="5" borderId="31" xfId="0" applyFill="1" applyBorder="1" applyAlignment="1" applyProtection="1">
      <alignment horizontal="center" vertical="center"/>
    </xf>
    <xf numFmtId="0" fontId="0" fillId="5" borderId="32" xfId="0" applyFill="1" applyBorder="1" applyAlignment="1" applyProtection="1">
      <alignment horizontal="center" vertical="center"/>
    </xf>
    <xf numFmtId="0" fontId="0" fillId="5" borderId="24" xfId="0" applyFill="1" applyBorder="1" applyAlignment="1" applyProtection="1">
      <alignment horizontal="center" vertical="center"/>
    </xf>
    <xf numFmtId="0" fontId="0" fillId="5" borderId="33" xfId="0" applyFill="1" applyBorder="1" applyAlignment="1" applyProtection="1">
      <alignment horizontal="center" vertical="center"/>
    </xf>
    <xf numFmtId="0" fontId="0" fillId="5" borderId="34" xfId="0" applyFill="1" applyBorder="1" applyAlignment="1" applyProtection="1">
      <alignment horizontal="center" vertical="center"/>
    </xf>
    <xf numFmtId="0" fontId="0" fillId="5" borderId="35" xfId="0" applyFill="1" applyBorder="1" applyAlignment="1" applyProtection="1">
      <alignment horizontal="center" vertical="center"/>
    </xf>
    <xf numFmtId="0" fontId="0" fillId="5" borderId="5" xfId="0" applyFill="1" applyBorder="1" applyAlignment="1" applyProtection="1">
      <alignment horizontal="center" vertical="center"/>
    </xf>
    <xf numFmtId="0" fontId="0" fillId="5" borderId="36" xfId="0" applyFill="1" applyBorder="1" applyAlignment="1" applyProtection="1">
      <alignment horizontal="center" vertical="center"/>
    </xf>
    <xf numFmtId="0" fontId="14" fillId="5" borderId="37" xfId="0" applyFont="1" applyFill="1" applyBorder="1" applyAlignment="1" applyProtection="1">
      <alignment horizontal="center" vertical="center"/>
    </xf>
    <xf numFmtId="0" fontId="15" fillId="5" borderId="38" xfId="0" applyFont="1" applyFill="1" applyBorder="1" applyAlignment="1" applyProtection="1">
      <alignment horizontal="center" vertical="center" wrapText="1"/>
    </xf>
    <xf numFmtId="0" fontId="0" fillId="5" borderId="38" xfId="0" applyFill="1" applyBorder="1" applyAlignment="1" applyProtection="1">
      <alignment horizontal="center" vertical="center" wrapText="1"/>
    </xf>
    <xf numFmtId="166" fontId="15" fillId="5" borderId="38" xfId="0" applyNumberFormat="1" applyFont="1" applyFill="1" applyBorder="1" applyAlignment="1" applyProtection="1">
      <alignment horizontal="center" vertical="center"/>
    </xf>
    <xf numFmtId="0" fontId="14" fillId="5" borderId="21" xfId="0" applyFont="1" applyFill="1" applyBorder="1" applyAlignment="1" applyProtection="1">
      <alignment horizontal="center" vertical="center" wrapText="1"/>
    </xf>
    <xf numFmtId="0" fontId="14" fillId="5" borderId="16" xfId="0" applyFont="1" applyFill="1" applyBorder="1" applyAlignment="1" applyProtection="1">
      <alignment horizontal="center" vertical="center" wrapText="1"/>
    </xf>
    <xf numFmtId="0" fontId="18" fillId="3" borderId="0" xfId="0" applyFont="1" applyFill="1" applyBorder="1" applyAlignment="1" applyProtection="1">
      <alignment horizontal="right" vertical="center"/>
    </xf>
    <xf numFmtId="0" fontId="20" fillId="0" borderId="0" xfId="0" applyFont="1" applyBorder="1" applyAlignment="1" applyProtection="1">
      <alignment horizontal="left" vertical="center"/>
      <protection locked="0"/>
    </xf>
    <xf numFmtId="165" fontId="15" fillId="5" borderId="22" xfId="0" applyNumberFormat="1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center" vertical="center"/>
      <protection locked="0"/>
    </xf>
    <xf numFmtId="0" fontId="20" fillId="0" borderId="28" xfId="0" applyFont="1" applyFill="1" applyBorder="1" applyAlignment="1" applyProtection="1">
      <alignment horizontal="center" vertical="center"/>
      <protection locked="0"/>
    </xf>
    <xf numFmtId="0" fontId="17" fillId="3" borderId="24" xfId="0" applyFont="1" applyFill="1" applyBorder="1" applyAlignment="1" applyProtection="1">
      <alignment horizontal="right" vertical="center"/>
    </xf>
    <xf numFmtId="0" fontId="20" fillId="8" borderId="29" xfId="0" applyFont="1" applyFill="1" applyBorder="1" applyAlignment="1" applyProtection="1">
      <alignment horizontal="center" vertical="center"/>
      <protection locked="0"/>
    </xf>
    <xf numFmtId="0" fontId="20" fillId="0" borderId="30" xfId="0" applyFont="1" applyBorder="1" applyAlignment="1" applyProtection="1">
      <alignment horizontal="center" vertical="center"/>
      <protection locked="0"/>
    </xf>
    <xf numFmtId="0" fontId="20" fillId="0" borderId="39" xfId="0" applyFont="1" applyFill="1" applyBorder="1" applyAlignment="1" applyProtection="1">
      <alignment horizontal="center" vertical="center"/>
      <protection locked="0"/>
    </xf>
    <xf numFmtId="0" fontId="15" fillId="0" borderId="0" xfId="0" quotePrefix="1" applyFont="1" applyProtection="1"/>
    <xf numFmtId="2" fontId="15" fillId="5" borderId="25" xfId="0" applyNumberFormat="1" applyFont="1" applyFill="1" applyBorder="1" applyAlignment="1" applyProtection="1">
      <alignment horizontal="center"/>
    </xf>
    <xf numFmtId="0" fontId="26" fillId="5" borderId="39" xfId="0" applyFont="1" applyFill="1" applyBorder="1" applyAlignment="1" applyProtection="1">
      <alignment horizontal="center"/>
    </xf>
    <xf numFmtId="0" fontId="25" fillId="0" borderId="39" xfId="0" applyFont="1" applyBorder="1" applyAlignment="1" applyProtection="1">
      <alignment horizontal="center"/>
    </xf>
    <xf numFmtId="0" fontId="25" fillId="0" borderId="23" xfId="0" applyFont="1" applyBorder="1" applyAlignment="1" applyProtection="1">
      <alignment horizontal="center"/>
    </xf>
    <xf numFmtId="165" fontId="0" fillId="5" borderId="39" xfId="0" applyNumberFormat="1" applyFill="1" applyBorder="1" applyAlignment="1" applyProtection="1">
      <alignment horizontal="center"/>
    </xf>
    <xf numFmtId="0" fontId="0" fillId="0" borderId="39" xfId="0" applyBorder="1" applyAlignment="1" applyProtection="1">
      <alignment horizontal="center"/>
    </xf>
    <xf numFmtId="0" fontId="0" fillId="0" borderId="23" xfId="0" applyBorder="1" applyAlignment="1" applyProtection="1">
      <alignment horizontal="center"/>
    </xf>
    <xf numFmtId="165" fontId="0" fillId="5" borderId="0" xfId="0" applyNumberFormat="1" applyFill="1" applyBorder="1" applyAlignment="1" applyProtection="1">
      <alignment horizontal="center"/>
    </xf>
    <xf numFmtId="165" fontId="0" fillId="5" borderId="28" xfId="0" applyNumberFormat="1" applyFill="1" applyBorder="1" applyAlignment="1" applyProtection="1">
      <alignment horizontal="center"/>
    </xf>
    <xf numFmtId="167" fontId="27" fillId="3" borderId="27" xfId="0" applyNumberFormat="1" applyFont="1" applyFill="1" applyBorder="1" applyAlignment="1" applyProtection="1">
      <alignment horizontal="center"/>
    </xf>
    <xf numFmtId="167" fontId="27" fillId="3" borderId="1" xfId="0" applyNumberFormat="1" applyFont="1" applyFill="1" applyBorder="1" applyAlignment="1" applyProtection="1">
      <alignment horizontal="center"/>
    </xf>
    <xf numFmtId="167" fontId="27" fillId="3" borderId="10" xfId="0" applyNumberFormat="1" applyFont="1" applyFill="1" applyBorder="1" applyAlignment="1" applyProtection="1">
      <alignment horizontal="center"/>
    </xf>
    <xf numFmtId="164" fontId="15" fillId="0" borderId="10" xfId="0" applyNumberFormat="1" applyFont="1" applyBorder="1" applyAlignment="1" applyProtection="1">
      <alignment horizontal="center"/>
    </xf>
    <xf numFmtId="0" fontId="25" fillId="0" borderId="24" xfId="0" applyFont="1" applyBorder="1" applyAlignment="1" applyProtection="1">
      <alignment horizontal="center"/>
    </xf>
    <xf numFmtId="0" fontId="0" fillId="0" borderId="26" xfId="0" applyBorder="1" applyAlignment="1" applyProtection="1">
      <alignment horizontal="center"/>
    </xf>
    <xf numFmtId="0" fontId="21" fillId="0" borderId="20" xfId="0" applyFont="1" applyBorder="1" applyAlignment="1" applyProtection="1">
      <alignment horizontal="left" vertical="center"/>
    </xf>
    <xf numFmtId="0" fontId="21" fillId="0" borderId="4" xfId="0" applyFont="1" applyBorder="1" applyAlignment="1" applyProtection="1">
      <alignment horizontal="left" vertical="center"/>
    </xf>
    <xf numFmtId="0" fontId="21" fillId="0" borderId="5" xfId="0" applyFont="1" applyBorder="1" applyAlignment="1" applyProtection="1">
      <alignment horizontal="left" vertical="center"/>
    </xf>
    <xf numFmtId="0" fontId="0" fillId="0" borderId="24" xfId="0" applyBorder="1" applyProtection="1"/>
    <xf numFmtId="0" fontId="0" fillId="10" borderId="20" xfId="0" applyFill="1" applyBorder="1" applyAlignment="1">
      <alignment horizontal="right"/>
    </xf>
    <xf numFmtId="0" fontId="15" fillId="0" borderId="39" xfId="0" applyFont="1" applyBorder="1" applyAlignment="1" applyProtection="1">
      <alignment horizontal="left"/>
      <protection locked="0"/>
    </xf>
    <xf numFmtId="0" fontId="0" fillId="10" borderId="23" xfId="0" applyFill="1" applyBorder="1"/>
    <xf numFmtId="0" fontId="0" fillId="10" borderId="5" xfId="0" applyFill="1" applyBorder="1" applyAlignment="1">
      <alignment horizontal="right"/>
    </xf>
    <xf numFmtId="0" fontId="15" fillId="0" borderId="28" xfId="0" applyFont="1" applyBorder="1" applyAlignment="1" applyProtection="1">
      <alignment horizontal="left"/>
      <protection locked="0"/>
    </xf>
    <xf numFmtId="0" fontId="0" fillId="10" borderId="3" xfId="0" applyFill="1" applyBorder="1"/>
    <xf numFmtId="0" fontId="15" fillId="8" borderId="39" xfId="0" applyFont="1" applyFill="1" applyBorder="1" applyAlignment="1">
      <alignment horizontal="center"/>
    </xf>
    <xf numFmtId="0" fontId="15" fillId="8" borderId="23" xfId="0" applyFont="1" applyFill="1" applyBorder="1" applyAlignment="1">
      <alignment horizontal="center"/>
    </xf>
    <xf numFmtId="0" fontId="15" fillId="7" borderId="4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5" fontId="0" fillId="3" borderId="28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0" fontId="28" fillId="0" borderId="2" xfId="0" applyFont="1" applyBorder="1" applyAlignment="1" applyProtection="1">
      <alignment horizontal="center" vertical="center"/>
    </xf>
    <xf numFmtId="0" fontId="29" fillId="0" borderId="0" xfId="0" applyFont="1" applyFill="1" applyBorder="1" applyAlignment="1" applyProtection="1">
      <alignment horizontal="center" vertical="center" wrapText="1"/>
    </xf>
    <xf numFmtId="165" fontId="15" fillId="5" borderId="6" xfId="0" applyNumberFormat="1" applyFont="1" applyFill="1" applyBorder="1" applyAlignment="1" applyProtection="1">
      <alignment horizontal="center" vertical="center"/>
    </xf>
    <xf numFmtId="0" fontId="13" fillId="5" borderId="22" xfId="0" applyFont="1" applyFill="1" applyBorder="1" applyAlignment="1" applyProtection="1">
      <alignment horizontal="center" vertical="center" wrapText="1"/>
    </xf>
    <xf numFmtId="0" fontId="37" fillId="0" borderId="4" xfId="2" applyFont="1" applyFill="1" applyBorder="1" applyAlignment="1" applyProtection="1">
      <alignment horizontal="center"/>
      <protection locked="0"/>
    </xf>
    <xf numFmtId="0" fontId="31" fillId="3" borderId="40" xfId="2" applyFont="1" applyFill="1" applyBorder="1" applyAlignment="1" applyProtection="1">
      <alignment horizontal="center" vertical="center" wrapText="1"/>
    </xf>
    <xf numFmtId="0" fontId="31" fillId="3" borderId="41" xfId="2" applyFont="1" applyFill="1" applyBorder="1" applyAlignment="1" applyProtection="1">
      <alignment horizontal="left" vertical="center" wrapText="1"/>
    </xf>
    <xf numFmtId="0" fontId="32" fillId="3" borderId="31" xfId="2" applyFont="1" applyFill="1" applyBorder="1" applyAlignment="1" applyProtection="1">
      <alignment horizontal="center" vertical="center" wrapText="1"/>
    </xf>
    <xf numFmtId="0" fontId="33" fillId="3" borderId="31" xfId="2" applyFont="1" applyFill="1" applyBorder="1" applyAlignment="1" applyProtection="1">
      <alignment horizontal="center" vertical="center" wrapText="1"/>
    </xf>
    <xf numFmtId="0" fontId="31" fillId="3" borderId="38" xfId="2" applyFont="1" applyFill="1" applyBorder="1" applyAlignment="1" applyProtection="1">
      <alignment horizontal="center" vertical="center" wrapText="1"/>
    </xf>
    <xf numFmtId="0" fontId="31" fillId="3" borderId="31" xfId="2" applyFont="1" applyFill="1" applyBorder="1" applyAlignment="1" applyProtection="1">
      <alignment horizontal="center" vertical="center" wrapText="1"/>
    </xf>
    <xf numFmtId="0" fontId="31" fillId="3" borderId="5" xfId="2" applyFont="1" applyFill="1" applyBorder="1" applyAlignment="1" applyProtection="1">
      <alignment horizontal="center" vertical="center" wrapText="1"/>
    </xf>
    <xf numFmtId="0" fontId="31" fillId="3" borderId="28" xfId="2" applyFont="1" applyFill="1" applyBorder="1" applyAlignment="1" applyProtection="1">
      <alignment horizontal="center" vertical="center" wrapText="1"/>
    </xf>
    <xf numFmtId="0" fontId="34" fillId="2" borderId="42" xfId="2" applyFont="1" applyFill="1" applyBorder="1" applyAlignment="1" applyProtection="1">
      <alignment horizontal="center" vertical="center" textRotation="90"/>
    </xf>
    <xf numFmtId="0" fontId="34" fillId="2" borderId="0" xfId="2" applyFont="1" applyFill="1" applyBorder="1" applyAlignment="1" applyProtection="1">
      <alignment horizontal="left"/>
    </xf>
    <xf numFmtId="0" fontId="35" fillId="2" borderId="4" xfId="2" applyFont="1" applyFill="1" applyBorder="1" applyProtection="1"/>
    <xf numFmtId="0" fontId="35" fillId="2" borderId="4" xfId="2" applyFont="1" applyFill="1" applyBorder="1" applyAlignment="1" applyProtection="1">
      <alignment horizontal="center"/>
    </xf>
    <xf numFmtId="0" fontId="36" fillId="2" borderId="4" xfId="2" applyFont="1" applyFill="1" applyBorder="1" applyAlignment="1" applyProtection="1">
      <alignment horizontal="center"/>
    </xf>
    <xf numFmtId="0" fontId="34" fillId="2" borderId="4" xfId="2" applyFont="1" applyFill="1" applyBorder="1" applyProtection="1"/>
    <xf numFmtId="0" fontId="34" fillId="2" borderId="0" xfId="2" applyFont="1" applyFill="1" applyBorder="1" applyProtection="1"/>
    <xf numFmtId="0" fontId="34" fillId="2" borderId="0" xfId="2" applyFont="1" applyFill="1" applyProtection="1"/>
    <xf numFmtId="0" fontId="38" fillId="2" borderId="1" xfId="2" applyFont="1" applyFill="1" applyBorder="1" applyAlignment="1" applyProtection="1">
      <alignment horizontal="center"/>
    </xf>
    <xf numFmtId="0" fontId="38" fillId="2" borderId="4" xfId="2" applyFont="1" applyFill="1" applyBorder="1" applyAlignment="1" applyProtection="1">
      <alignment horizontal="center"/>
    </xf>
    <xf numFmtId="2" fontId="34" fillId="2" borderId="1" xfId="2" applyNumberFormat="1" applyFont="1" applyFill="1" applyBorder="1" applyAlignment="1" applyProtection="1">
      <alignment horizontal="center"/>
    </xf>
    <xf numFmtId="2" fontId="34" fillId="2" borderId="4" xfId="2" applyNumberFormat="1" applyFont="1" applyFill="1" applyBorder="1" applyAlignment="1" applyProtection="1">
      <alignment horizontal="center"/>
    </xf>
    <xf numFmtId="0" fontId="34" fillId="2" borderId="43" xfId="2" applyFont="1" applyFill="1" applyBorder="1" applyAlignment="1" applyProtection="1">
      <alignment horizontal="center" vertical="center" textRotation="90"/>
    </xf>
    <xf numFmtId="0" fontId="34" fillId="2" borderId="28" xfId="2" applyFont="1" applyFill="1" applyBorder="1" applyAlignment="1" applyProtection="1">
      <alignment horizontal="left"/>
    </xf>
    <xf numFmtId="0" fontId="35" fillId="2" borderId="5" xfId="2" applyFont="1" applyFill="1" applyBorder="1" applyProtection="1"/>
    <xf numFmtId="0" fontId="35" fillId="2" borderId="5" xfId="2" applyFont="1" applyFill="1" applyBorder="1" applyAlignment="1" applyProtection="1">
      <alignment horizontal="center"/>
    </xf>
    <xf numFmtId="0" fontId="36" fillId="2" borderId="5" xfId="2" applyFont="1" applyFill="1" applyBorder="1" applyAlignment="1" applyProtection="1">
      <alignment horizontal="center"/>
    </xf>
    <xf numFmtId="2" fontId="34" fillId="2" borderId="10" xfId="2" applyNumberFormat="1" applyFont="1" applyFill="1" applyBorder="1" applyAlignment="1" applyProtection="1">
      <alignment horizontal="center"/>
    </xf>
    <xf numFmtId="2" fontId="34" fillId="2" borderId="5" xfId="2" applyNumberFormat="1" applyFont="1" applyFill="1" applyBorder="1" applyAlignment="1" applyProtection="1">
      <alignment horizontal="center"/>
    </xf>
    <xf numFmtId="0" fontId="34" fillId="2" borderId="5" xfId="2" applyFont="1" applyFill="1" applyBorder="1" applyProtection="1"/>
    <xf numFmtId="0" fontId="34" fillId="2" borderId="28" xfId="2" applyFont="1" applyFill="1" applyBorder="1" applyProtection="1"/>
    <xf numFmtId="0" fontId="34" fillId="3" borderId="42" xfId="2" applyFont="1" applyFill="1" applyBorder="1" applyAlignment="1" applyProtection="1">
      <alignment horizontal="center" vertical="center" textRotation="90"/>
    </xf>
    <xf numFmtId="0" fontId="34" fillId="3" borderId="0" xfId="2" applyFont="1" applyFill="1" applyBorder="1" applyAlignment="1" applyProtection="1">
      <alignment horizontal="left"/>
    </xf>
    <xf numFmtId="0" fontId="35" fillId="3" borderId="4" xfId="2" applyFont="1" applyFill="1" applyBorder="1" applyProtection="1"/>
    <xf numFmtId="0" fontId="35" fillId="3" borderId="4" xfId="2" applyFont="1" applyFill="1" applyBorder="1" applyAlignment="1" applyProtection="1">
      <alignment horizontal="center"/>
    </xf>
    <xf numFmtId="0" fontId="36" fillId="3" borderId="4" xfId="2" applyFont="1" applyFill="1" applyBorder="1" applyAlignment="1" applyProtection="1">
      <alignment horizontal="center"/>
    </xf>
    <xf numFmtId="0" fontId="34" fillId="3" borderId="4" xfId="2" applyFont="1" applyFill="1" applyBorder="1" applyProtection="1"/>
    <xf numFmtId="0" fontId="34" fillId="3" borderId="0" xfId="2" applyFont="1" applyFill="1" applyProtection="1"/>
    <xf numFmtId="0" fontId="38" fillId="3" borderId="1" xfId="2" applyFont="1" applyFill="1" applyBorder="1" applyAlignment="1" applyProtection="1">
      <alignment horizontal="center"/>
    </xf>
    <xf numFmtId="0" fontId="38" fillId="3" borderId="4" xfId="2" applyFont="1" applyFill="1" applyBorder="1" applyAlignment="1" applyProtection="1">
      <alignment horizontal="center"/>
    </xf>
    <xf numFmtId="2" fontId="34" fillId="3" borderId="1" xfId="2" applyNumberFormat="1" applyFont="1" applyFill="1" applyBorder="1" applyAlignment="1" applyProtection="1">
      <alignment horizontal="center"/>
    </xf>
    <xf numFmtId="2" fontId="34" fillId="3" borderId="4" xfId="2" applyNumberFormat="1" applyFont="1" applyFill="1" applyBorder="1" applyAlignment="1" applyProtection="1">
      <alignment horizontal="center"/>
    </xf>
    <xf numFmtId="0" fontId="34" fillId="3" borderId="0" xfId="2" applyFont="1" applyFill="1" applyBorder="1" applyProtection="1"/>
    <xf numFmtId="0" fontId="34" fillId="3" borderId="43" xfId="2" applyFont="1" applyFill="1" applyBorder="1" applyAlignment="1" applyProtection="1">
      <alignment horizontal="center" vertical="center" textRotation="90"/>
    </xf>
    <xf numFmtId="0" fontId="34" fillId="3" borderId="28" xfId="2" applyFont="1" applyFill="1" applyBorder="1" applyAlignment="1" applyProtection="1">
      <alignment horizontal="left"/>
    </xf>
    <xf numFmtId="0" fontId="35" fillId="3" borderId="5" xfId="2" applyFont="1" applyFill="1" applyBorder="1" applyProtection="1"/>
    <xf numFmtId="0" fontId="35" fillId="3" borderId="5" xfId="2" applyFont="1" applyFill="1" applyBorder="1" applyAlignment="1" applyProtection="1">
      <alignment horizontal="center"/>
    </xf>
    <xf numFmtId="0" fontId="36" fillId="3" borderId="5" xfId="2" applyFont="1" applyFill="1" applyBorder="1" applyAlignment="1" applyProtection="1">
      <alignment horizontal="center"/>
    </xf>
    <xf numFmtId="2" fontId="34" fillId="3" borderId="10" xfId="2" applyNumberFormat="1" applyFont="1" applyFill="1" applyBorder="1" applyAlignment="1" applyProtection="1">
      <alignment horizontal="center"/>
    </xf>
    <xf numFmtId="2" fontId="34" fillId="3" borderId="5" xfId="2" applyNumberFormat="1" applyFont="1" applyFill="1" applyBorder="1" applyAlignment="1" applyProtection="1">
      <alignment horizontal="center"/>
    </xf>
    <xf numFmtId="0" fontId="34" fillId="3" borderId="5" xfId="2" applyFont="1" applyFill="1" applyBorder="1" applyProtection="1"/>
    <xf numFmtId="0" fontId="34" fillId="3" borderId="28" xfId="2" applyFont="1" applyFill="1" applyBorder="1" applyProtection="1"/>
    <xf numFmtId="0" fontId="34" fillId="7" borderId="42" xfId="2" applyFont="1" applyFill="1" applyBorder="1" applyAlignment="1" applyProtection="1">
      <alignment horizontal="center" vertical="center" textRotation="90"/>
    </xf>
    <xf numFmtId="0" fontId="34" fillId="7" borderId="0" xfId="2" applyFont="1" applyFill="1" applyBorder="1" applyAlignment="1" applyProtection="1">
      <alignment horizontal="left"/>
    </xf>
    <xf numFmtId="0" fontId="35" fillId="7" borderId="4" xfId="2" applyFont="1" applyFill="1" applyBorder="1" applyProtection="1"/>
    <xf numFmtId="0" fontId="35" fillId="7" borderId="4" xfId="2" applyFont="1" applyFill="1" applyBorder="1" applyAlignment="1" applyProtection="1">
      <alignment horizontal="center"/>
    </xf>
    <xf numFmtId="0" fontId="36" fillId="7" borderId="4" xfId="2" applyFont="1" applyFill="1" applyBorder="1" applyAlignment="1" applyProtection="1">
      <alignment horizontal="center"/>
    </xf>
    <xf numFmtId="0" fontId="39" fillId="7" borderId="1" xfId="2" applyFont="1" applyFill="1" applyBorder="1" applyAlignment="1" applyProtection="1">
      <alignment horizontal="center"/>
    </xf>
    <xf numFmtId="0" fontId="39" fillId="7" borderId="4" xfId="2" applyFont="1" applyFill="1" applyBorder="1" applyAlignment="1" applyProtection="1">
      <alignment horizontal="center"/>
    </xf>
    <xf numFmtId="0" fontId="34" fillId="7" borderId="4" xfId="2" applyFont="1" applyFill="1" applyBorder="1" applyProtection="1"/>
    <xf numFmtId="0" fontId="34" fillId="7" borderId="0" xfId="2" applyFont="1" applyFill="1" applyProtection="1"/>
    <xf numFmtId="2" fontId="34" fillId="7" borderId="1" xfId="2" applyNumberFormat="1" applyFont="1" applyFill="1" applyBorder="1" applyAlignment="1" applyProtection="1">
      <alignment horizontal="center"/>
    </xf>
    <xf numFmtId="2" fontId="34" fillId="7" borderId="4" xfId="2" applyNumberFormat="1" applyFont="1" applyFill="1" applyBorder="1" applyAlignment="1" applyProtection="1">
      <alignment horizontal="center"/>
    </xf>
    <xf numFmtId="0" fontId="34" fillId="7" borderId="43" xfId="2" applyFont="1" applyFill="1" applyBorder="1" applyAlignment="1" applyProtection="1">
      <alignment horizontal="center" vertical="center" textRotation="90"/>
    </xf>
    <xf numFmtId="0" fontId="34" fillId="7" borderId="28" xfId="2" applyFont="1" applyFill="1" applyBorder="1" applyAlignment="1" applyProtection="1">
      <alignment horizontal="left"/>
    </xf>
    <xf numFmtId="0" fontId="35" fillId="7" borderId="5" xfId="2" applyFont="1" applyFill="1" applyBorder="1" applyProtection="1"/>
    <xf numFmtId="0" fontId="35" fillId="7" borderId="5" xfId="2" applyFont="1" applyFill="1" applyBorder="1" applyAlignment="1" applyProtection="1">
      <alignment horizontal="center"/>
    </xf>
    <xf numFmtId="0" fontId="36" fillId="7" borderId="5" xfId="2" applyFont="1" applyFill="1" applyBorder="1" applyAlignment="1" applyProtection="1">
      <alignment horizontal="center"/>
    </xf>
    <xf numFmtId="2" fontId="34" fillId="7" borderId="10" xfId="2" applyNumberFormat="1" applyFont="1" applyFill="1" applyBorder="1" applyAlignment="1" applyProtection="1">
      <alignment horizontal="center"/>
    </xf>
    <xf numFmtId="2" fontId="34" fillId="7" borderId="5" xfId="2" applyNumberFormat="1" applyFont="1" applyFill="1" applyBorder="1" applyAlignment="1" applyProtection="1">
      <alignment horizontal="center"/>
    </xf>
    <xf numFmtId="0" fontId="34" fillId="7" borderId="5" xfId="2" applyFont="1" applyFill="1" applyBorder="1" applyProtection="1"/>
    <xf numFmtId="0" fontId="34" fillId="7" borderId="28" xfId="2" applyFont="1" applyFill="1" applyBorder="1" applyProtection="1"/>
    <xf numFmtId="0" fontId="34" fillId="11" borderId="0" xfId="2" applyFont="1" applyFill="1" applyProtection="1"/>
    <xf numFmtId="0" fontId="34" fillId="11" borderId="0" xfId="2" applyFont="1" applyFill="1" applyAlignment="1" applyProtection="1">
      <alignment horizontal="left"/>
    </xf>
    <xf numFmtId="0" fontId="34" fillId="11" borderId="0" xfId="2" applyFont="1" applyFill="1" applyAlignment="1" applyProtection="1">
      <alignment horizontal="center"/>
    </xf>
    <xf numFmtId="0" fontId="34" fillId="11" borderId="4" xfId="2" applyFont="1" applyFill="1" applyBorder="1" applyProtection="1"/>
    <xf numFmtId="0" fontId="39" fillId="11" borderId="0" xfId="2" applyFont="1" applyFill="1" applyAlignment="1" applyProtection="1">
      <alignment horizontal="center" vertical="center" textRotation="90"/>
    </xf>
    <xf numFmtId="0" fontId="39" fillId="11" borderId="0" xfId="2" applyFont="1" applyFill="1" applyAlignment="1" applyProtection="1">
      <alignment horizontal="left"/>
    </xf>
    <xf numFmtId="0" fontId="35" fillId="11" borderId="4" xfId="2" applyFont="1" applyFill="1" applyBorder="1" applyProtection="1"/>
    <xf numFmtId="0" fontId="35" fillId="11" borderId="4" xfId="2" applyFont="1" applyFill="1" applyBorder="1" applyAlignment="1" applyProtection="1">
      <alignment horizontal="center"/>
    </xf>
    <xf numFmtId="0" fontId="40" fillId="11" borderId="4" xfId="2" applyFont="1" applyFill="1" applyBorder="1" applyAlignment="1" applyProtection="1">
      <alignment horizontal="center"/>
    </xf>
    <xf numFmtId="0" fontId="39" fillId="11" borderId="4" xfId="2" applyFont="1" applyFill="1" applyBorder="1" applyAlignment="1" applyProtection="1">
      <alignment horizontal="center"/>
    </xf>
    <xf numFmtId="0" fontId="34" fillId="11" borderId="0" xfId="2" applyFont="1" applyFill="1" applyAlignment="1" applyProtection="1">
      <alignment horizontal="center" vertical="center" textRotation="90"/>
    </xf>
    <xf numFmtId="0" fontId="36" fillId="11" borderId="4" xfId="2" applyFont="1" applyFill="1" applyBorder="1" applyAlignment="1" applyProtection="1">
      <alignment horizontal="center"/>
    </xf>
    <xf numFmtId="0" fontId="34" fillId="11" borderId="4" xfId="2" applyFont="1" applyFill="1" applyBorder="1" applyAlignment="1" applyProtection="1">
      <alignment horizontal="center"/>
    </xf>
    <xf numFmtId="0" fontId="34" fillId="12" borderId="42" xfId="2" applyFont="1" applyFill="1" applyBorder="1" applyAlignment="1" applyProtection="1">
      <alignment horizontal="center" vertical="center" textRotation="90"/>
    </xf>
    <xf numFmtId="0" fontId="34" fillId="12" borderId="0" xfId="2" applyFont="1" applyFill="1" applyBorder="1" applyAlignment="1" applyProtection="1">
      <alignment horizontal="left"/>
    </xf>
    <xf numFmtId="0" fontId="35" fillId="12" borderId="4" xfId="2" applyFont="1" applyFill="1" applyBorder="1" applyProtection="1"/>
    <xf numFmtId="0" fontId="35" fillId="12" borderId="4" xfId="2" applyFont="1" applyFill="1" applyBorder="1" applyAlignment="1" applyProtection="1">
      <alignment horizontal="center"/>
    </xf>
    <xf numFmtId="0" fontId="36" fillId="12" borderId="4" xfId="2" applyFont="1" applyFill="1" applyBorder="1" applyAlignment="1" applyProtection="1">
      <alignment horizontal="center"/>
    </xf>
    <xf numFmtId="0" fontId="34" fillId="12" borderId="4" xfId="2" applyFont="1" applyFill="1" applyBorder="1" applyProtection="1"/>
    <xf numFmtId="0" fontId="34" fillId="12" borderId="0" xfId="2" applyFont="1" applyFill="1" applyProtection="1"/>
    <xf numFmtId="166" fontId="34" fillId="12" borderId="1" xfId="2" applyNumberFormat="1" applyFont="1" applyFill="1" applyBorder="1" applyAlignment="1" applyProtection="1">
      <alignment horizontal="center"/>
    </xf>
    <xf numFmtId="166" fontId="34" fillId="12" borderId="4" xfId="2" applyNumberFormat="1" applyFont="1" applyFill="1" applyBorder="1" applyAlignment="1" applyProtection="1">
      <alignment horizontal="center"/>
    </xf>
    <xf numFmtId="1" fontId="34" fillId="12" borderId="1" xfId="2" applyNumberFormat="1" applyFont="1" applyFill="1" applyBorder="1" applyAlignment="1" applyProtection="1">
      <alignment horizontal="center"/>
    </xf>
    <xf numFmtId="1" fontId="34" fillId="12" borderId="4" xfId="2" applyNumberFormat="1" applyFont="1" applyFill="1" applyBorder="1" applyAlignment="1" applyProtection="1">
      <alignment horizontal="center"/>
    </xf>
    <xf numFmtId="0" fontId="34" fillId="12" borderId="0" xfId="2" applyFont="1" applyFill="1" applyBorder="1" applyProtection="1"/>
    <xf numFmtId="2" fontId="35" fillId="12" borderId="1" xfId="2" applyNumberFormat="1" applyFont="1" applyFill="1" applyBorder="1" applyAlignment="1" applyProtection="1">
      <alignment horizontal="center"/>
    </xf>
    <xf numFmtId="2" fontId="35" fillId="12" borderId="4" xfId="2" applyNumberFormat="1" applyFont="1" applyFill="1" applyBorder="1" applyAlignment="1" applyProtection="1">
      <alignment horizontal="center"/>
    </xf>
    <xf numFmtId="0" fontId="34" fillId="12" borderId="44" xfId="2" applyFont="1" applyFill="1" applyBorder="1" applyAlignment="1" applyProtection="1">
      <alignment horizontal="center" vertical="center" textRotation="90"/>
    </xf>
    <xf numFmtId="0" fontId="34" fillId="12" borderId="45" xfId="2" applyFont="1" applyFill="1" applyBorder="1" applyAlignment="1" applyProtection="1">
      <alignment horizontal="left"/>
    </xf>
    <xf numFmtId="0" fontId="35" fillId="12" borderId="46" xfId="2" applyFont="1" applyFill="1" applyBorder="1" applyProtection="1"/>
    <xf numFmtId="0" fontId="35" fillId="12" borderId="46" xfId="2" applyFont="1" applyFill="1" applyBorder="1" applyAlignment="1" applyProtection="1">
      <alignment horizontal="center"/>
    </xf>
    <xf numFmtId="0" fontId="36" fillId="12" borderId="46" xfId="2" applyFont="1" applyFill="1" applyBorder="1" applyAlignment="1" applyProtection="1">
      <alignment horizontal="center"/>
    </xf>
    <xf numFmtId="166" fontId="34" fillId="12" borderId="12" xfId="2" applyNumberFormat="1" applyFont="1" applyFill="1" applyBorder="1" applyAlignment="1" applyProtection="1">
      <alignment horizontal="center"/>
    </xf>
    <xf numFmtId="166" fontId="34" fillId="12" borderId="46" xfId="2" applyNumberFormat="1" applyFont="1" applyFill="1" applyBorder="1" applyAlignment="1" applyProtection="1">
      <alignment horizontal="center"/>
    </xf>
    <xf numFmtId="0" fontId="34" fillId="12" borderId="5" xfId="2" applyFont="1" applyFill="1" applyBorder="1" applyProtection="1"/>
    <xf numFmtId="0" fontId="34" fillId="12" borderId="28" xfId="2" applyFont="1" applyFill="1" applyBorder="1" applyProtection="1"/>
    <xf numFmtId="165" fontId="34" fillId="2" borderId="1" xfId="2" applyNumberFormat="1" applyFont="1" applyFill="1" applyBorder="1" applyAlignment="1" applyProtection="1">
      <alignment horizontal="center"/>
    </xf>
    <xf numFmtId="164" fontId="34" fillId="2" borderId="0" xfId="2" applyNumberFormat="1" applyFont="1" applyFill="1" applyProtection="1"/>
    <xf numFmtId="0" fontId="39" fillId="3" borderId="42" xfId="2" applyFont="1" applyFill="1" applyBorder="1" applyAlignment="1" applyProtection="1">
      <alignment horizontal="center" vertical="center" textRotation="90"/>
    </xf>
    <xf numFmtId="0" fontId="39" fillId="3" borderId="0" xfId="2" applyFont="1" applyFill="1" applyBorder="1" applyAlignment="1" applyProtection="1">
      <alignment horizontal="left"/>
    </xf>
    <xf numFmtId="0" fontId="39" fillId="2" borderId="0" xfId="2" applyFont="1" applyFill="1" applyBorder="1" applyAlignment="1" applyProtection="1">
      <alignment horizontal="left"/>
    </xf>
    <xf numFmtId="0" fontId="39" fillId="7" borderId="0" xfId="2" applyFont="1" applyFill="1" applyBorder="1" applyAlignment="1" applyProtection="1">
      <alignment horizontal="left"/>
    </xf>
    <xf numFmtId="2" fontId="39" fillId="0" borderId="1" xfId="2" applyNumberFormat="1" applyFont="1" applyFill="1" applyBorder="1" applyAlignment="1" applyProtection="1">
      <alignment horizontal="center"/>
      <protection locked="0"/>
    </xf>
    <xf numFmtId="2" fontId="39" fillId="0" borderId="4" xfId="2" applyNumberFormat="1" applyFont="1" applyFill="1" applyBorder="1" applyAlignment="1" applyProtection="1">
      <alignment horizontal="center"/>
      <protection locked="0"/>
    </xf>
    <xf numFmtId="0" fontId="41" fillId="0" borderId="0" xfId="0" applyFont="1" applyFill="1" applyAlignment="1" applyProtection="1">
      <alignment horizontal="right"/>
    </xf>
    <xf numFmtId="0" fontId="23" fillId="5" borderId="6" xfId="0" applyFont="1" applyFill="1" applyBorder="1" applyAlignment="1" applyProtection="1">
      <alignment horizontal="center" vertical="center" wrapText="1"/>
    </xf>
    <xf numFmtId="0" fontId="6" fillId="7" borderId="12" xfId="0" applyFont="1" applyFill="1" applyBorder="1" applyAlignment="1" applyProtection="1">
      <alignment horizontal="center" vertical="center" wrapText="1"/>
    </xf>
    <xf numFmtId="0" fontId="23" fillId="0" borderId="0" xfId="0" applyFont="1" applyAlignment="1">
      <alignment horizontal="center"/>
    </xf>
    <xf numFmtId="0" fontId="29" fillId="0" borderId="27" xfId="0" applyFont="1" applyBorder="1" applyAlignment="1" applyProtection="1">
      <alignment horizontal="center"/>
    </xf>
    <xf numFmtId="0" fontId="42" fillId="0" borderId="10" xfId="1" applyFont="1" applyBorder="1" applyAlignment="1" applyProtection="1">
      <alignment horizontal="center"/>
    </xf>
    <xf numFmtId="0" fontId="29" fillId="0" borderId="0" xfId="0" applyFont="1" applyProtection="1"/>
    <xf numFmtId="0" fontId="42" fillId="0" borderId="10" xfId="1" applyFont="1" applyFill="1" applyBorder="1" applyAlignment="1" applyProtection="1">
      <alignment horizontal="center"/>
    </xf>
    <xf numFmtId="0" fontId="23" fillId="5" borderId="10" xfId="0" applyFont="1" applyFill="1" applyBorder="1" applyAlignment="1" applyProtection="1">
      <alignment horizontal="center" vertical="center" wrapText="1"/>
    </xf>
    <xf numFmtId="0" fontId="23" fillId="0" borderId="0" xfId="0" applyFont="1" applyProtection="1"/>
    <xf numFmtId="0" fontId="23" fillId="5" borderId="12" xfId="0" applyFont="1" applyFill="1" applyBorder="1" applyAlignment="1" applyProtection="1">
      <alignment horizontal="center" vertical="center" wrapText="1"/>
    </xf>
    <xf numFmtId="0" fontId="23" fillId="5" borderId="38" xfId="0" applyFont="1" applyFill="1" applyBorder="1" applyAlignment="1" applyProtection="1">
      <alignment horizontal="center" vertical="center" wrapText="1"/>
    </xf>
    <xf numFmtId="0" fontId="5" fillId="0" borderId="0" xfId="4"/>
    <xf numFmtId="0" fontId="45" fillId="0" borderId="0" xfId="4" applyFont="1"/>
    <xf numFmtId="0" fontId="5" fillId="0" borderId="0" xfId="4" applyAlignment="1">
      <alignment horizontal="right"/>
    </xf>
    <xf numFmtId="164" fontId="5" fillId="0" borderId="3" xfId="4" applyNumberFormat="1" applyBorder="1" applyAlignment="1">
      <alignment horizontal="center"/>
    </xf>
    <xf numFmtId="164" fontId="5" fillId="0" borderId="28" xfId="4" applyNumberFormat="1" applyBorder="1" applyAlignment="1">
      <alignment horizontal="center"/>
    </xf>
    <xf numFmtId="164" fontId="5" fillId="0" borderId="5" xfId="4" applyNumberFormat="1" applyBorder="1" applyAlignment="1">
      <alignment horizontal="center"/>
    </xf>
    <xf numFmtId="164" fontId="5" fillId="0" borderId="2" xfId="4" applyNumberFormat="1" applyBorder="1" applyAlignment="1">
      <alignment horizontal="center"/>
    </xf>
    <xf numFmtId="164" fontId="5" fillId="0" borderId="0" xfId="4" applyNumberFormat="1" applyBorder="1" applyAlignment="1">
      <alignment horizontal="center"/>
    </xf>
    <xf numFmtId="164" fontId="5" fillId="0" borderId="4" xfId="4" applyNumberFormat="1" applyBorder="1" applyAlignment="1">
      <alignment horizontal="center"/>
    </xf>
    <xf numFmtId="164" fontId="5" fillId="13" borderId="0" xfId="4" applyNumberFormat="1" applyFill="1" applyBorder="1" applyAlignment="1">
      <alignment horizontal="center"/>
    </xf>
    <xf numFmtId="164" fontId="5" fillId="13" borderId="0" xfId="4" applyNumberFormat="1" applyFill="1" applyAlignment="1">
      <alignment horizontal="center"/>
    </xf>
    <xf numFmtId="164" fontId="5" fillId="14" borderId="20" xfId="4" applyNumberFormat="1" applyFill="1" applyBorder="1" applyAlignment="1">
      <alignment horizontal="center"/>
    </xf>
    <xf numFmtId="164" fontId="5" fillId="0" borderId="39" xfId="4" applyNumberFormat="1" applyBorder="1" applyAlignment="1">
      <alignment horizontal="center"/>
    </xf>
    <xf numFmtId="0" fontId="5" fillId="0" borderId="20" xfId="4" applyBorder="1" applyAlignment="1">
      <alignment horizontal="center"/>
    </xf>
    <xf numFmtId="164" fontId="5" fillId="0" borderId="23" xfId="4" applyNumberForma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Border="1" applyAlignment="1">
      <alignment horizontal="center"/>
    </xf>
    <xf numFmtId="0" fontId="5" fillId="0" borderId="4" xfId="4" applyBorder="1" applyAlignment="1">
      <alignment horizontal="center"/>
    </xf>
    <xf numFmtId="0" fontId="5" fillId="0" borderId="2" xfId="4" applyBorder="1"/>
    <xf numFmtId="0" fontId="5" fillId="0" borderId="0" xfId="4" applyBorder="1"/>
    <xf numFmtId="0" fontId="5" fillId="0" borderId="0" xfId="4" applyAlignment="1">
      <alignment horizontal="center"/>
    </xf>
    <xf numFmtId="2" fontId="5" fillId="13" borderId="0" xfId="4" applyNumberFormat="1" applyFill="1" applyBorder="1" applyAlignment="1">
      <alignment horizontal="center"/>
    </xf>
    <xf numFmtId="165" fontId="5" fillId="13" borderId="0" xfId="4" applyNumberFormat="1" applyFill="1" applyBorder="1" applyAlignment="1">
      <alignment horizontal="center"/>
    </xf>
    <xf numFmtId="2" fontId="5" fillId="13" borderId="4" xfId="4" applyNumberFormat="1" applyFill="1" applyBorder="1" applyAlignment="1">
      <alignment horizontal="center"/>
    </xf>
    <xf numFmtId="0" fontId="5" fillId="14" borderId="27" xfId="4" applyFill="1" applyBorder="1" applyAlignment="1">
      <alignment horizontal="center"/>
    </xf>
    <xf numFmtId="0" fontId="5" fillId="0" borderId="39" xfId="4" applyBorder="1" applyAlignment="1">
      <alignment horizontal="center"/>
    </xf>
    <xf numFmtId="0" fontId="5" fillId="0" borderId="23" xfId="4" applyBorder="1"/>
    <xf numFmtId="0" fontId="5" fillId="14" borderId="20" xfId="4" applyFill="1" applyBorder="1"/>
    <xf numFmtId="169" fontId="5" fillId="0" borderId="0" xfId="4" applyNumberFormat="1" applyAlignment="1">
      <alignment horizontal="center"/>
    </xf>
    <xf numFmtId="167" fontId="5" fillId="0" borderId="3" xfId="4" applyNumberFormat="1" applyBorder="1" applyAlignment="1">
      <alignment horizontal="center"/>
    </xf>
    <xf numFmtId="167" fontId="5" fillId="0" borderId="28" xfId="4" applyNumberFormat="1" applyBorder="1" applyAlignment="1">
      <alignment horizontal="center"/>
    </xf>
    <xf numFmtId="167" fontId="5" fillId="0" borderId="5" xfId="4" applyNumberFormat="1" applyBorder="1" applyAlignment="1">
      <alignment horizontal="center"/>
    </xf>
    <xf numFmtId="0" fontId="46" fillId="0" borderId="0" xfId="4" applyFont="1" applyAlignment="1">
      <alignment horizontal="left"/>
    </xf>
    <xf numFmtId="2" fontId="47" fillId="15" borderId="0" xfId="4" applyNumberFormat="1" applyFont="1" applyFill="1" applyAlignment="1">
      <alignment horizontal="center"/>
    </xf>
    <xf numFmtId="10" fontId="5" fillId="0" borderId="0" xfId="4" applyNumberFormat="1" applyAlignment="1">
      <alignment horizontal="center"/>
    </xf>
    <xf numFmtId="2" fontId="47" fillId="16" borderId="0" xfId="4" applyNumberFormat="1" applyFont="1" applyFill="1" applyAlignment="1">
      <alignment horizontal="center"/>
    </xf>
    <xf numFmtId="165" fontId="48" fillId="17" borderId="0" xfId="4" applyNumberFormat="1" applyFont="1" applyFill="1" applyAlignment="1">
      <alignment horizontal="center"/>
    </xf>
    <xf numFmtId="2" fontId="5" fillId="13" borderId="0" xfId="4" applyNumberFormat="1" applyFill="1" applyAlignment="1">
      <alignment horizontal="left"/>
    </xf>
    <xf numFmtId="0" fontId="5" fillId="18" borderId="0" xfId="4" applyFill="1" applyAlignment="1">
      <alignment horizontal="right"/>
    </xf>
    <xf numFmtId="169" fontId="47" fillId="0" borderId="0" xfId="4" applyNumberFormat="1" applyFont="1" applyAlignment="1">
      <alignment horizontal="center"/>
    </xf>
    <xf numFmtId="0" fontId="5" fillId="0" borderId="23" xfId="4" applyBorder="1" applyAlignment="1">
      <alignment horizontal="center"/>
    </xf>
    <xf numFmtId="0" fontId="5" fillId="14" borderId="20" xfId="4" applyFill="1" applyBorder="1" applyAlignment="1">
      <alignment horizontal="center"/>
    </xf>
    <xf numFmtId="169" fontId="47" fillId="0" borderId="0" xfId="4" applyNumberFormat="1" applyFont="1" applyFill="1" applyBorder="1" applyAlignment="1">
      <alignment horizontal="center"/>
    </xf>
    <xf numFmtId="0" fontId="47" fillId="0" borderId="3" xfId="4" applyFont="1" applyBorder="1" applyAlignment="1">
      <alignment horizontal="center"/>
    </xf>
    <xf numFmtId="0" fontId="47" fillId="0" borderId="28" xfId="4" applyFont="1" applyBorder="1" applyAlignment="1">
      <alignment horizontal="center"/>
    </xf>
    <xf numFmtId="2" fontId="47" fillId="17" borderId="0" xfId="4" applyNumberFormat="1" applyFont="1" applyFill="1" applyAlignment="1">
      <alignment horizontal="center"/>
    </xf>
    <xf numFmtId="165" fontId="47" fillId="17" borderId="0" xfId="4" applyNumberFormat="1" applyFont="1" applyFill="1" applyAlignment="1">
      <alignment horizontal="center"/>
    </xf>
    <xf numFmtId="164" fontId="5" fillId="13" borderId="0" xfId="4" applyNumberFormat="1" applyFill="1" applyAlignment="1">
      <alignment horizontal="left"/>
    </xf>
    <xf numFmtId="2" fontId="5" fillId="13" borderId="2" xfId="4" applyNumberFormat="1" applyFill="1" applyBorder="1" applyAlignment="1">
      <alignment horizontal="center"/>
    </xf>
    <xf numFmtId="0" fontId="5" fillId="14" borderId="20" xfId="4" applyFill="1" applyBorder="1" applyAlignment="1">
      <alignment horizontal="left"/>
    </xf>
    <xf numFmtId="165" fontId="5" fillId="13" borderId="0" xfId="4" applyNumberFormat="1" applyFill="1" applyAlignment="1">
      <alignment horizontal="left"/>
    </xf>
    <xf numFmtId="2" fontId="5" fillId="0" borderId="28" xfId="4" applyNumberFormat="1" applyBorder="1" applyAlignment="1">
      <alignment horizontal="center"/>
    </xf>
    <xf numFmtId="0" fontId="5" fillId="0" borderId="28" xfId="4" applyBorder="1" applyAlignment="1">
      <alignment horizontal="center" vertical="center"/>
    </xf>
    <xf numFmtId="0" fontId="5" fillId="0" borderId="5" xfId="4" applyBorder="1"/>
    <xf numFmtId="10" fontId="47" fillId="0" borderId="0" xfId="5" applyNumberFormat="1" applyFont="1" applyAlignment="1">
      <alignment horizontal="center"/>
    </xf>
    <xf numFmtId="169" fontId="47" fillId="0" borderId="0" xfId="5" applyNumberFormat="1" applyFont="1" applyAlignment="1">
      <alignment horizontal="center"/>
    </xf>
    <xf numFmtId="1" fontId="5" fillId="13" borderId="0" xfId="4" applyNumberFormat="1" applyFill="1" applyAlignment="1">
      <alignment horizontal="left"/>
    </xf>
    <xf numFmtId="2" fontId="5" fillId="0" borderId="0" xfId="4" applyNumberFormat="1" applyBorder="1" applyAlignment="1">
      <alignment horizontal="center"/>
    </xf>
    <xf numFmtId="0" fontId="5" fillId="0" borderId="0" xfId="4" applyBorder="1" applyAlignment="1">
      <alignment horizontal="center" vertical="center"/>
    </xf>
    <xf numFmtId="0" fontId="5" fillId="0" borderId="4" xfId="4" applyBorder="1"/>
    <xf numFmtId="0" fontId="48" fillId="0" borderId="0" xfId="4" applyFont="1" applyAlignment="1">
      <alignment horizontal="center"/>
    </xf>
    <xf numFmtId="167" fontId="5" fillId="0" borderId="2" xfId="4" applyNumberFormat="1" applyBorder="1" applyAlignment="1">
      <alignment horizontal="center"/>
    </xf>
    <xf numFmtId="167" fontId="5" fillId="0" borderId="0" xfId="4" applyNumberFormat="1" applyBorder="1" applyAlignment="1">
      <alignment horizontal="center"/>
    </xf>
    <xf numFmtId="2" fontId="5" fillId="0" borderId="39" xfId="4" applyNumberFormat="1" applyBorder="1" applyAlignment="1">
      <alignment horizontal="center"/>
    </xf>
    <xf numFmtId="0" fontId="5" fillId="0" borderId="39" xfId="4" applyBorder="1" applyAlignment="1">
      <alignment horizontal="center" vertical="center"/>
    </xf>
    <xf numFmtId="167" fontId="47" fillId="17" borderId="0" xfId="4" applyNumberFormat="1" applyFont="1" applyFill="1" applyAlignment="1">
      <alignment horizontal="center"/>
    </xf>
    <xf numFmtId="170" fontId="5" fillId="13" borderId="0" xfId="4" applyNumberFormat="1" applyFill="1" applyAlignment="1">
      <alignment horizontal="left"/>
    </xf>
    <xf numFmtId="0" fontId="44" fillId="13" borderId="0" xfId="4" applyFont="1" applyFill="1" applyAlignment="1">
      <alignment horizontal="center"/>
    </xf>
    <xf numFmtId="0" fontId="5" fillId="13" borderId="0" xfId="4" applyFill="1" applyAlignment="1">
      <alignment horizontal="left"/>
    </xf>
    <xf numFmtId="0" fontId="47" fillId="0" borderId="0" xfId="4" applyFont="1"/>
    <xf numFmtId="2" fontId="5" fillId="0" borderId="0" xfId="4" applyNumberFormat="1"/>
    <xf numFmtId="167" fontId="5" fillId="0" borderId="0" xfId="4" applyNumberFormat="1"/>
    <xf numFmtId="165" fontId="5" fillId="0" borderId="0" xfId="4" applyNumberFormat="1"/>
    <xf numFmtId="0" fontId="53" fillId="0" borderId="0" xfId="4" applyFont="1"/>
    <xf numFmtId="0" fontId="5" fillId="20" borderId="0" xfId="4" applyFill="1" applyAlignment="1" applyProtection="1">
      <alignment horizontal="center"/>
      <protection locked="0"/>
    </xf>
    <xf numFmtId="0" fontId="5" fillId="21" borderId="0" xfId="4" applyFill="1" applyAlignment="1">
      <alignment horizontal="right"/>
    </xf>
    <xf numFmtId="166" fontId="5" fillId="20" borderId="0" xfId="4" applyNumberFormat="1" applyFill="1" applyAlignment="1" applyProtection="1">
      <alignment horizontal="left"/>
      <protection locked="0"/>
    </xf>
    <xf numFmtId="0" fontId="5" fillId="0" borderId="0" xfId="4" applyAlignment="1">
      <alignment horizontal="left"/>
    </xf>
    <xf numFmtId="2" fontId="5" fillId="20" borderId="0" xfId="4" applyNumberFormat="1" applyFill="1" applyAlignment="1" applyProtection="1">
      <alignment horizontal="left"/>
      <protection locked="0"/>
    </xf>
    <xf numFmtId="165" fontId="5" fillId="20" borderId="0" xfId="4" applyNumberFormat="1" applyFill="1" applyAlignment="1" applyProtection="1">
      <alignment horizontal="left"/>
      <protection locked="0"/>
    </xf>
    <xf numFmtId="0" fontId="5" fillId="0" borderId="0" xfId="4" applyAlignment="1">
      <alignment horizontal="center" wrapText="1"/>
    </xf>
    <xf numFmtId="165" fontId="5" fillId="13" borderId="0" xfId="4" applyNumberFormat="1" applyFill="1" applyAlignment="1">
      <alignment horizontal="center"/>
    </xf>
    <xf numFmtId="0" fontId="5" fillId="20" borderId="0" xfId="4" applyFill="1" applyAlignment="1" applyProtection="1">
      <alignment horizontal="left"/>
      <protection locked="0"/>
    </xf>
    <xf numFmtId="0" fontId="5" fillId="22" borderId="0" xfId="4" applyFill="1" applyAlignment="1">
      <alignment horizontal="right"/>
    </xf>
    <xf numFmtId="0" fontId="5" fillId="9" borderId="3" xfId="4" applyFill="1" applyBorder="1" applyProtection="1"/>
    <xf numFmtId="0" fontId="5" fillId="20" borderId="28" xfId="4" applyFill="1" applyBorder="1" applyAlignment="1" applyProtection="1">
      <alignment horizontal="left"/>
      <protection locked="0"/>
    </xf>
    <xf numFmtId="0" fontId="6" fillId="3" borderId="5" xfId="4" applyFont="1" applyFill="1" applyBorder="1" applyAlignment="1">
      <alignment horizontal="right"/>
    </xf>
    <xf numFmtId="0" fontId="5" fillId="9" borderId="2" xfId="4" applyFill="1" applyBorder="1" applyProtection="1"/>
    <xf numFmtId="0" fontId="5" fillId="9" borderId="0" xfId="4" applyFill="1" applyBorder="1" applyAlignment="1" applyProtection="1">
      <alignment horizontal="left"/>
    </xf>
    <xf numFmtId="0" fontId="5" fillId="9" borderId="4" xfId="4" applyFill="1" applyBorder="1" applyAlignment="1" applyProtection="1">
      <alignment horizontal="right"/>
    </xf>
    <xf numFmtId="164" fontId="5" fillId="14" borderId="20" xfId="4" applyNumberFormat="1" applyFill="1" applyBorder="1" applyAlignment="1">
      <alignment horizontal="left"/>
    </xf>
    <xf numFmtId="0" fontId="58" fillId="0" borderId="0" xfId="0" applyFont="1" applyAlignment="1">
      <alignment horizontal="center"/>
    </xf>
    <xf numFmtId="0" fontId="23" fillId="21" borderId="0" xfId="0" quotePrefix="1" applyFont="1" applyFill="1"/>
    <xf numFmtId="0" fontId="23" fillId="18" borderId="0" xfId="0" quotePrefix="1" applyFont="1" applyFill="1"/>
    <xf numFmtId="0" fontId="23" fillId="18" borderId="0" xfId="0" applyFont="1" applyFill="1"/>
    <xf numFmtId="0" fontId="23" fillId="21" borderId="0" xfId="0" applyFont="1" applyFill="1"/>
    <xf numFmtId="0" fontId="0" fillId="21" borderId="0" xfId="0" quotePrefix="1" applyFill="1"/>
    <xf numFmtId="0" fontId="23" fillId="20" borderId="0" xfId="0" quotePrefix="1" applyFont="1" applyFill="1"/>
    <xf numFmtId="0" fontId="4" fillId="0" borderId="0" xfId="4" applyFont="1"/>
    <xf numFmtId="2" fontId="5" fillId="13" borderId="0" xfId="4" applyNumberFormat="1" applyFill="1" applyAlignment="1">
      <alignment horizontal="center"/>
    </xf>
    <xf numFmtId="2" fontId="5" fillId="20" borderId="0" xfId="4" applyNumberFormat="1" applyFill="1" applyAlignment="1" applyProtection="1">
      <alignment horizontal="center"/>
      <protection locked="0"/>
    </xf>
    <xf numFmtId="0" fontId="23" fillId="7" borderId="12" xfId="0" applyFont="1" applyFill="1" applyBorder="1" applyAlignment="1" applyProtection="1">
      <alignment horizontal="center" vertical="center" wrapText="1"/>
    </xf>
    <xf numFmtId="0" fontId="23" fillId="0" borderId="0" xfId="0" applyFont="1" applyAlignment="1">
      <alignment horizontal="right"/>
    </xf>
    <xf numFmtId="0" fontId="0" fillId="0" borderId="0" xfId="0" applyAlignment="1">
      <alignment horizontal="left"/>
    </xf>
    <xf numFmtId="166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60" fillId="0" borderId="0" xfId="0" applyFont="1" applyAlignment="1">
      <alignment horizontal="center" vertical="center"/>
    </xf>
    <xf numFmtId="11" fontId="61" fillId="0" borderId="0" xfId="0" applyNumberFormat="1" applyFont="1" applyAlignment="1">
      <alignment horizontal="center"/>
    </xf>
    <xf numFmtId="0" fontId="3" fillId="18" borderId="0" xfId="4" applyFont="1" applyFill="1" applyAlignment="1">
      <alignment horizontal="right"/>
    </xf>
    <xf numFmtId="0" fontId="3" fillId="0" borderId="0" xfId="4" applyFont="1"/>
    <xf numFmtId="0" fontId="3" fillId="22" borderId="0" xfId="4" applyFont="1" applyFill="1" applyAlignment="1">
      <alignment horizontal="right"/>
    </xf>
    <xf numFmtId="0" fontId="3" fillId="0" borderId="4" xfId="4" applyFont="1" applyBorder="1"/>
    <xf numFmtId="165" fontId="5" fillId="0" borderId="0" xfId="4" applyNumberFormat="1" applyBorder="1" applyAlignment="1">
      <alignment horizontal="center" vertical="center"/>
    </xf>
    <xf numFmtId="0" fontId="3" fillId="14" borderId="20" xfId="4" applyFont="1" applyFill="1" applyBorder="1"/>
    <xf numFmtId="10" fontId="5" fillId="0" borderId="0" xfId="6" applyNumberFormat="1" applyFont="1"/>
    <xf numFmtId="0" fontId="65" fillId="0" borderId="0" xfId="4" applyFont="1" applyAlignment="1">
      <alignment horizontal="center"/>
    </xf>
    <xf numFmtId="169" fontId="66" fillId="0" borderId="0" xfId="4" applyNumberFormat="1" applyFont="1" applyAlignment="1">
      <alignment horizontal="center"/>
    </xf>
    <xf numFmtId="170" fontId="65" fillId="0" borderId="0" xfId="4" applyNumberFormat="1" applyFont="1" applyAlignment="1">
      <alignment horizontal="center"/>
    </xf>
    <xf numFmtId="165" fontId="65" fillId="0" borderId="0" xfId="4" applyNumberFormat="1" applyFont="1" applyAlignment="1">
      <alignment horizontal="center"/>
    </xf>
    <xf numFmtId="0" fontId="65" fillId="0" borderId="0" xfId="4" applyFont="1" applyAlignment="1">
      <alignment horizontal="right"/>
    </xf>
    <xf numFmtId="167" fontId="65" fillId="0" borderId="0" xfId="4" applyNumberFormat="1" applyFont="1" applyAlignment="1">
      <alignment horizontal="left"/>
    </xf>
    <xf numFmtId="0" fontId="3" fillId="0" borderId="0" xfId="4" applyFont="1" applyAlignment="1">
      <alignment horizontal="center"/>
    </xf>
    <xf numFmtId="164" fontId="5" fillId="0" borderId="0" xfId="4" applyNumberFormat="1" applyAlignment="1">
      <alignment horizontal="center"/>
    </xf>
    <xf numFmtId="10" fontId="5" fillId="0" borderId="0" xfId="6" applyNumberFormat="1" applyFont="1" applyBorder="1" applyAlignment="1">
      <alignment horizontal="center" vertical="center"/>
    </xf>
    <xf numFmtId="165" fontId="5" fillId="0" borderId="0" xfId="4" applyNumberFormat="1" applyAlignment="1">
      <alignment horizontal="center"/>
    </xf>
    <xf numFmtId="0" fontId="2" fillId="0" borderId="20" xfId="4" applyFont="1" applyBorder="1"/>
    <xf numFmtId="0" fontId="5" fillId="0" borderId="39" xfId="4" applyBorder="1"/>
    <xf numFmtId="0" fontId="2" fillId="0" borderId="5" xfId="4" applyFont="1" applyBorder="1"/>
    <xf numFmtId="0" fontId="5" fillId="0" borderId="28" xfId="4" applyBorder="1"/>
    <xf numFmtId="0" fontId="5" fillId="0" borderId="3" xfId="4" applyBorder="1"/>
    <xf numFmtId="0" fontId="19" fillId="7" borderId="24" xfId="0" applyFont="1" applyFill="1" applyBorder="1" applyAlignment="1" applyProtection="1">
      <alignment horizontal="center" vertical="center"/>
    </xf>
    <xf numFmtId="0" fontId="19" fillId="7" borderId="33" xfId="0" applyFont="1" applyFill="1" applyBorder="1" applyAlignment="1" applyProtection="1">
      <alignment horizontal="center" vertical="center"/>
    </xf>
    <xf numFmtId="0" fontId="19" fillId="5" borderId="47" xfId="0" applyFont="1" applyFill="1" applyBorder="1" applyAlignment="1" applyProtection="1">
      <alignment horizontal="center" vertical="center"/>
    </xf>
    <xf numFmtId="0" fontId="19" fillId="5" borderId="48" xfId="0" applyFont="1" applyFill="1" applyBorder="1" applyAlignment="1" applyProtection="1">
      <alignment horizontal="center" vertical="center"/>
    </xf>
    <xf numFmtId="0" fontId="0" fillId="5" borderId="24" xfId="0" applyFill="1" applyBorder="1" applyAlignment="1" applyProtection="1">
      <alignment horizontal="center" vertical="center"/>
    </xf>
    <xf numFmtId="0" fontId="0" fillId="5" borderId="33" xfId="0" applyFill="1" applyBorder="1" applyAlignment="1" applyProtection="1">
      <alignment horizontal="center" vertical="center"/>
    </xf>
    <xf numFmtId="0" fontId="21" fillId="7" borderId="47" xfId="0" applyFont="1" applyFill="1" applyBorder="1" applyAlignment="1" applyProtection="1">
      <alignment horizontal="center" vertical="center"/>
    </xf>
    <xf numFmtId="0" fontId="21" fillId="7" borderId="48" xfId="0" applyFont="1" applyFill="1" applyBorder="1" applyAlignment="1" applyProtection="1">
      <alignment horizontal="center" vertical="center"/>
    </xf>
    <xf numFmtId="0" fontId="0" fillId="5" borderId="31" xfId="0" applyFill="1" applyBorder="1" applyAlignment="1" applyProtection="1">
      <alignment horizontal="center" vertical="center"/>
    </xf>
    <xf numFmtId="0" fontId="0" fillId="5" borderId="32" xfId="0" applyFill="1" applyBorder="1" applyAlignment="1" applyProtection="1">
      <alignment horizontal="center" vertical="center"/>
    </xf>
    <xf numFmtId="0" fontId="16" fillId="3" borderId="20" xfId="0" applyFont="1" applyFill="1" applyBorder="1" applyAlignment="1" applyProtection="1">
      <alignment horizontal="center" vertical="center"/>
    </xf>
    <xf numFmtId="0" fontId="16" fillId="3" borderId="39" xfId="0" applyFont="1" applyFill="1" applyBorder="1" applyAlignment="1" applyProtection="1">
      <alignment horizontal="center" vertical="center"/>
    </xf>
    <xf numFmtId="0" fontId="19" fillId="5" borderId="24" xfId="0" applyFont="1" applyFill="1" applyBorder="1" applyAlignment="1" applyProtection="1">
      <alignment horizontal="center" vertical="center"/>
    </xf>
    <xf numFmtId="0" fontId="19" fillId="5" borderId="33" xfId="0" applyFont="1" applyFill="1" applyBorder="1" applyAlignment="1" applyProtection="1">
      <alignment horizontal="center" vertical="center"/>
    </xf>
    <xf numFmtId="0" fontId="21" fillId="5" borderId="24" xfId="0" applyFont="1" applyFill="1" applyBorder="1" applyAlignment="1" applyProtection="1">
      <alignment horizontal="center" vertical="center"/>
    </xf>
    <xf numFmtId="0" fontId="21" fillId="5" borderId="33" xfId="0" applyFont="1" applyFill="1" applyBorder="1" applyAlignment="1" applyProtection="1">
      <alignment horizontal="center" vertical="center"/>
    </xf>
    <xf numFmtId="0" fontId="21" fillId="5" borderId="34" xfId="0" applyFont="1" applyFill="1" applyBorder="1" applyAlignment="1" applyProtection="1">
      <alignment horizontal="center" vertical="center"/>
    </xf>
    <xf numFmtId="0" fontId="21" fillId="5" borderId="35" xfId="0" applyFont="1" applyFill="1" applyBorder="1" applyAlignment="1" applyProtection="1">
      <alignment horizontal="center" vertical="center"/>
    </xf>
    <xf numFmtId="0" fontId="12" fillId="8" borderId="14" xfId="0" applyFont="1" applyFill="1" applyBorder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1" fillId="7" borderId="24" xfId="0" applyFont="1" applyFill="1" applyBorder="1" applyAlignment="1" applyProtection="1">
      <alignment horizontal="center" vertical="center"/>
    </xf>
    <xf numFmtId="0" fontId="21" fillId="7" borderId="33" xfId="0" applyFont="1" applyFill="1" applyBorder="1" applyAlignment="1" applyProtection="1">
      <alignment horizontal="center" vertical="center"/>
    </xf>
    <xf numFmtId="0" fontId="21" fillId="7" borderId="34" xfId="0" applyFont="1" applyFill="1" applyBorder="1" applyAlignment="1" applyProtection="1">
      <alignment horizontal="center" vertical="center"/>
    </xf>
    <xf numFmtId="0" fontId="21" fillId="7" borderId="35" xfId="0" applyFont="1" applyFill="1" applyBorder="1" applyAlignment="1" applyProtection="1">
      <alignment horizontal="center" vertical="center"/>
    </xf>
    <xf numFmtId="0" fontId="25" fillId="8" borderId="20" xfId="0" applyFont="1" applyFill="1" applyBorder="1" applyAlignment="1" applyProtection="1">
      <alignment horizontal="center"/>
    </xf>
    <xf numFmtId="0" fontId="25" fillId="8" borderId="39" xfId="0" applyFont="1" applyFill="1" applyBorder="1" applyAlignment="1" applyProtection="1">
      <alignment horizontal="center"/>
    </xf>
    <xf numFmtId="0" fontId="52" fillId="19" borderId="0" xfId="4" applyFont="1" applyFill="1" applyAlignment="1">
      <alignment horizontal="center"/>
    </xf>
    <xf numFmtId="0" fontId="53" fillId="13" borderId="0" xfId="4" applyFont="1" applyFill="1" applyAlignment="1">
      <alignment horizontal="center"/>
    </xf>
    <xf numFmtId="0" fontId="15" fillId="9" borderId="34" xfId="0" applyFont="1" applyFill="1" applyBorder="1" applyAlignment="1" applyProtection="1">
      <alignment horizontal="center"/>
    </xf>
    <xf numFmtId="0" fontId="15" fillId="9" borderId="49" xfId="0" applyFont="1" applyFill="1" applyBorder="1" applyAlignment="1" applyProtection="1">
      <alignment horizontal="center"/>
    </xf>
    <xf numFmtId="0" fontId="15" fillId="9" borderId="50" xfId="0" applyFont="1" applyFill="1" applyBorder="1" applyAlignment="1" applyProtection="1">
      <alignment horizontal="center"/>
    </xf>
    <xf numFmtId="0" fontId="67" fillId="18" borderId="0" xfId="4" applyFont="1" applyFill="1" applyAlignment="1">
      <alignment horizontal="right"/>
    </xf>
    <xf numFmtId="165" fontId="67" fillId="13" borderId="0" xfId="4" applyNumberFormat="1" applyFont="1" applyFill="1" applyAlignment="1">
      <alignment horizontal="left"/>
    </xf>
    <xf numFmtId="0" fontId="68" fillId="0" borderId="0" xfId="4" applyFont="1"/>
    <xf numFmtId="169" fontId="69" fillId="0" borderId="0" xfId="4" applyNumberFormat="1" applyFont="1" applyAlignment="1">
      <alignment horizontal="center"/>
    </xf>
    <xf numFmtId="0" fontId="44" fillId="18" borderId="0" xfId="4" applyFont="1" applyFill="1" applyAlignment="1">
      <alignment horizontal="right"/>
    </xf>
    <xf numFmtId="1" fontId="44" fillId="13" borderId="0" xfId="4" applyNumberFormat="1" applyFont="1" applyFill="1" applyAlignment="1">
      <alignment horizontal="left"/>
    </xf>
    <xf numFmtId="0" fontId="70" fillId="0" borderId="0" xfId="4" applyFont="1"/>
    <xf numFmtId="2" fontId="48" fillId="17" borderId="0" xfId="4" applyNumberFormat="1" applyFont="1" applyFill="1" applyAlignment="1">
      <alignment horizontal="center"/>
    </xf>
    <xf numFmtId="0" fontId="1" fillId="0" borderId="0" xfId="4" applyFont="1" applyAlignment="1">
      <alignment horizontal="right"/>
    </xf>
    <xf numFmtId="165" fontId="69" fillId="17" borderId="0" xfId="4" applyNumberFormat="1" applyFont="1" applyFill="1" applyAlignment="1">
      <alignment horizontal="center"/>
    </xf>
    <xf numFmtId="2" fontId="69" fillId="17" borderId="0" xfId="4" applyNumberFormat="1" applyFont="1" applyFill="1" applyAlignment="1">
      <alignment horizontal="center"/>
    </xf>
    <xf numFmtId="0" fontId="71" fillId="0" borderId="0" xfId="4" applyFont="1"/>
    <xf numFmtId="0" fontId="72" fillId="0" borderId="0" xfId="1" applyFont="1" applyAlignment="1" applyProtection="1">
      <alignment horizontal="center"/>
    </xf>
  </cellXfs>
  <cellStyles count="7">
    <cellStyle name="Hyperlink" xfId="1" builtinId="8"/>
    <cellStyle name="Normal" xfId="0" builtinId="0"/>
    <cellStyle name="Normal 2" xfId="4"/>
    <cellStyle name="Normal_calc" xfId="2"/>
    <cellStyle name="Normal_Table" xfId="3"/>
    <cellStyle name="Percent" xfId="6" builtinId="5"/>
    <cellStyle name="Percent 2" xf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Charge </a:t>
            </a:r>
          </a:p>
        </c:rich>
      </c:tx>
      <c:layout>
        <c:manualLayout>
          <c:xMode val="edge"/>
          <c:yMode val="edge"/>
          <c:x val="0.43957703927492686"/>
          <c:y val="2.17391304347826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102719033232633E-2"/>
          <c:y val="0.10671936758893302"/>
          <c:w val="0.88217522658610659"/>
          <c:h val="0.76482213438735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'ChargeStates -&gt; MeanValue'!$B$4</c:f>
              <c:strCache>
                <c:ptCount val="1"/>
                <c:pt idx="0">
                  <c:v>Winger</c:v>
                </c:pt>
              </c:strCache>
            </c:strRef>
          </c:tx>
          <c:spPr>
            <a:ln w="25400">
              <a:solidFill>
                <a:srgbClr val="000080"/>
              </a:solidFill>
              <a:prstDash val="lgDashDot"/>
            </a:ln>
          </c:spPr>
          <c:marker>
            <c:symbol val="none"/>
          </c:marker>
          <c:xVal>
            <c:numRef>
              <c:f>'ChargeStates -&gt; MeanValue'!$A$6:$A$29</c:f>
              <c:numCache>
                <c:formatCode>General</c:formatCode>
                <c:ptCount val="24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  <c:pt idx="23">
                  <c:v>96</c:v>
                </c:pt>
              </c:numCache>
            </c:numRef>
          </c:xVal>
          <c:yVal>
            <c:numRef>
              <c:f>'ChargeStates -&gt; MeanValue'!$B$6:$B$29</c:f>
              <c:numCache>
                <c:formatCode>0.000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6.0000000000002274E-3</c:v>
                </c:pt>
                <c:pt idx="10">
                  <c:v>1.2999999999998124E-2</c:v>
                </c:pt>
                <c:pt idx="11">
                  <c:v>2.4000000000000909E-2</c:v>
                </c:pt>
                <c:pt idx="12">
                  <c:v>4.0999999999996817E-2</c:v>
                </c:pt>
                <c:pt idx="13">
                  <c:v>6.4000000000000057E-2</c:v>
                </c:pt>
                <c:pt idx="14">
                  <c:v>9.4999999999998863E-2</c:v>
                </c:pt>
                <c:pt idx="15">
                  <c:v>0.13499999999999801</c:v>
                </c:pt>
                <c:pt idx="16">
                  <c:v>0.18600000000000705</c:v>
                </c:pt>
                <c:pt idx="17">
                  <c:v>0.24899999999999523</c:v>
                </c:pt>
                <c:pt idx="18">
                  <c:v>0.32500000000000284</c:v>
                </c:pt>
                <c:pt idx="19">
                  <c:v>0.41599999999999682</c:v>
                </c:pt>
                <c:pt idx="20">
                  <c:v>0.52299999999999613</c:v>
                </c:pt>
                <c:pt idx="21">
                  <c:v>0.64700000000000557</c:v>
                </c:pt>
                <c:pt idx="22">
                  <c:v>0.78900000000000148</c:v>
                </c:pt>
                <c:pt idx="23">
                  <c:v>0.95000000000000284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'ChargeStates -&gt; MeanValue'!$C$4</c:f>
              <c:strCache>
                <c:ptCount val="1"/>
                <c:pt idx="0">
                  <c:v>Leon</c:v>
                </c:pt>
              </c:strCache>
            </c:strRef>
          </c:tx>
          <c:spPr>
            <a:ln w="25400">
              <a:solidFill>
                <a:srgbClr val="336666"/>
              </a:solidFill>
              <a:prstDash val="lgDash"/>
            </a:ln>
          </c:spPr>
          <c:marker>
            <c:symbol val="none"/>
          </c:marker>
          <c:xVal>
            <c:numRef>
              <c:f>'ChargeStates -&gt; MeanValue'!$A$6:$A$29</c:f>
              <c:numCache>
                <c:formatCode>General</c:formatCode>
                <c:ptCount val="24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  <c:pt idx="23">
                  <c:v>96</c:v>
                </c:pt>
              </c:numCache>
            </c:numRef>
          </c:xVal>
          <c:yVal>
            <c:numRef>
              <c:f>'ChargeStates -&gt; MeanValue'!$C$6:$C$29</c:f>
              <c:numCache>
                <c:formatCode>0.000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6.799999999999784E-2</c:v>
                </c:pt>
                <c:pt idx="13">
                  <c:v>0.33899999999999864</c:v>
                </c:pt>
                <c:pt idx="14">
                  <c:v>0.65800000000000125</c:v>
                </c:pt>
                <c:pt idx="15">
                  <c:v>1.0219999999999985</c:v>
                </c:pt>
                <c:pt idx="16">
                  <c:v>1.4240000000000066</c:v>
                </c:pt>
                <c:pt idx="17">
                  <c:v>1.8490000000000038</c:v>
                </c:pt>
                <c:pt idx="18">
                  <c:v>2.2759999999999962</c:v>
                </c:pt>
                <c:pt idx="19">
                  <c:v>2.6809999999999974</c:v>
                </c:pt>
                <c:pt idx="20">
                  <c:v>3.0370000000000061</c:v>
                </c:pt>
                <c:pt idx="21">
                  <c:v>3.3229999999999933</c:v>
                </c:pt>
                <c:pt idx="22">
                  <c:v>3.5250000000000057</c:v>
                </c:pt>
                <c:pt idx="23">
                  <c:v>3.6400000000000006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'ChargeStates -&gt; MeanValue'!$D$4</c:f>
              <c:strCache>
                <c:ptCount val="1"/>
                <c:pt idx="0">
                  <c:v>Schima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'ChargeStates -&gt; MeanValue'!$A$6:$A$29</c:f>
              <c:numCache>
                <c:formatCode>General</c:formatCode>
                <c:ptCount val="24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  <c:pt idx="23">
                  <c:v>96</c:v>
                </c:pt>
              </c:numCache>
            </c:numRef>
          </c:xVal>
          <c:yVal>
            <c:numRef>
              <c:f>'ChargeStates -&gt; MeanValue'!$D$6:$D$29</c:f>
              <c:numCache>
                <c:formatCode>0.000</c:formatCode>
                <c:ptCount val="24"/>
                <c:pt idx="0">
                  <c:v>0.30900000000000016</c:v>
                </c:pt>
                <c:pt idx="1">
                  <c:v>0.69899999999999984</c:v>
                </c:pt>
                <c:pt idx="2">
                  <c:v>1.077</c:v>
                </c:pt>
                <c:pt idx="3">
                  <c:v>1.4440000000000008</c:v>
                </c:pt>
                <c:pt idx="4">
                  <c:v>1.8030000000000008</c:v>
                </c:pt>
                <c:pt idx="5">
                  <c:v>2.1539999999999999</c:v>
                </c:pt>
                <c:pt idx="6">
                  <c:v>2.4980000000000011</c:v>
                </c:pt>
                <c:pt idx="7">
                  <c:v>2.8359999999999985</c:v>
                </c:pt>
                <c:pt idx="8">
                  <c:v>3.1689999999999969</c:v>
                </c:pt>
                <c:pt idx="9">
                  <c:v>3.4969999999999999</c:v>
                </c:pt>
                <c:pt idx="10">
                  <c:v>3.820999999999998</c:v>
                </c:pt>
                <c:pt idx="11">
                  <c:v>4.1409999999999982</c:v>
                </c:pt>
                <c:pt idx="12">
                  <c:v>4.4570000000000007</c:v>
                </c:pt>
                <c:pt idx="13">
                  <c:v>4.7700000000000031</c:v>
                </c:pt>
                <c:pt idx="14">
                  <c:v>5.0799999999999983</c:v>
                </c:pt>
                <c:pt idx="15">
                  <c:v>5.3870000000000005</c:v>
                </c:pt>
                <c:pt idx="16">
                  <c:v>5.6910000000000025</c:v>
                </c:pt>
                <c:pt idx="17">
                  <c:v>5.9920000000000044</c:v>
                </c:pt>
                <c:pt idx="18">
                  <c:v>6.2909999999999968</c:v>
                </c:pt>
                <c:pt idx="19">
                  <c:v>6.5879999999999939</c:v>
                </c:pt>
                <c:pt idx="20">
                  <c:v>6.882000000000005</c:v>
                </c:pt>
                <c:pt idx="21">
                  <c:v>7.1740000000000066</c:v>
                </c:pt>
                <c:pt idx="22">
                  <c:v>7.4650000000000034</c:v>
                </c:pt>
                <c:pt idx="23">
                  <c:v>7.7530000000000001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'ChargeStates -&gt; MeanValue'!$E$4</c:f>
              <c:strCache>
                <c:ptCount val="1"/>
                <c:pt idx="0">
                  <c:v>Global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'ChargeStates -&gt; MeanValue'!$A$6:$A$29</c:f>
              <c:numCache>
                <c:formatCode>General</c:formatCode>
                <c:ptCount val="24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  <c:pt idx="23">
                  <c:v>96</c:v>
                </c:pt>
              </c:numCache>
            </c:numRef>
          </c:xVal>
          <c:yVal>
            <c:numRef>
              <c:f>'ChargeStates -&gt; MeanValue'!$E$6:$E$29</c:f>
              <c:numCache>
                <c:formatCode>0.000</c:formatCode>
                <c:ptCount val="24"/>
                <c:pt idx="0">
                  <c:v>9.9999999999988987E-4</c:v>
                </c:pt>
                <c:pt idx="1">
                  <c:v>1.000000000000334E-3</c:v>
                </c:pt>
                <c:pt idx="2">
                  <c:v>9.9999999999944578E-4</c:v>
                </c:pt>
                <c:pt idx="3">
                  <c:v>9.9999999999944578E-4</c:v>
                </c:pt>
                <c:pt idx="4">
                  <c:v>1.0000000000012221E-3</c:v>
                </c:pt>
                <c:pt idx="5">
                  <c:v>1.0000000000012221E-3</c:v>
                </c:pt>
                <c:pt idx="6">
                  <c:v>1.0000000000012221E-3</c:v>
                </c:pt>
                <c:pt idx="7">
                  <c:v>1.0000000000012221E-3</c:v>
                </c:pt>
                <c:pt idx="8">
                  <c:v>2.0000000000024443E-3</c:v>
                </c:pt>
                <c:pt idx="9">
                  <c:v>3.9999999999977831E-3</c:v>
                </c:pt>
                <c:pt idx="10">
                  <c:v>8.0000000000026716E-3</c:v>
                </c:pt>
                <c:pt idx="11">
                  <c:v>1.2999999999998124E-2</c:v>
                </c:pt>
                <c:pt idx="12">
                  <c:v>2.1000000000000796E-2</c:v>
                </c:pt>
                <c:pt idx="13">
                  <c:v>3.399999999999892E-2</c:v>
                </c:pt>
                <c:pt idx="14">
                  <c:v>5.1999999999999602E-2</c:v>
                </c:pt>
                <c:pt idx="15">
                  <c:v>7.8000000000002956E-2</c:v>
                </c:pt>
                <c:pt idx="16">
                  <c:v>0.11400000000000432</c:v>
                </c:pt>
                <c:pt idx="17">
                  <c:v>0.1629999999999967</c:v>
                </c:pt>
                <c:pt idx="18">
                  <c:v>0.22700000000000387</c:v>
                </c:pt>
                <c:pt idx="19">
                  <c:v>0.31000000000000227</c:v>
                </c:pt>
                <c:pt idx="20">
                  <c:v>0.41400000000000148</c:v>
                </c:pt>
                <c:pt idx="21">
                  <c:v>0.5379999999999967</c:v>
                </c:pt>
                <c:pt idx="22">
                  <c:v>0.68099999999999739</c:v>
                </c:pt>
                <c:pt idx="23">
                  <c:v>0.83899999999999864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'ChargeStates -&gt; MeanValue'!$F$4</c:f>
              <c:strCache>
                <c:ptCount val="1"/>
                <c:pt idx="0">
                  <c:v>Schiwietz</c:v>
                </c:pt>
              </c:strCache>
            </c:strRef>
          </c:tx>
          <c:spPr>
            <a:ln w="25400">
              <a:solidFill>
                <a:srgbClr val="800080"/>
              </a:solidFill>
              <a:prstDash val="lgDashDotDot"/>
            </a:ln>
          </c:spPr>
          <c:marker>
            <c:symbol val="none"/>
          </c:marker>
          <c:xVal>
            <c:numRef>
              <c:f>'ChargeStates -&gt; MeanValue'!$A$6:$A$29</c:f>
              <c:numCache>
                <c:formatCode>General</c:formatCode>
                <c:ptCount val="24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28</c:v>
                </c:pt>
                <c:pt idx="7">
                  <c:v>32</c:v>
                </c:pt>
                <c:pt idx="8">
                  <c:v>36</c:v>
                </c:pt>
                <c:pt idx="9">
                  <c:v>40</c:v>
                </c:pt>
                <c:pt idx="10">
                  <c:v>44</c:v>
                </c:pt>
                <c:pt idx="11">
                  <c:v>48</c:v>
                </c:pt>
                <c:pt idx="12">
                  <c:v>52</c:v>
                </c:pt>
                <c:pt idx="13">
                  <c:v>56</c:v>
                </c:pt>
                <c:pt idx="14">
                  <c:v>60</c:v>
                </c:pt>
                <c:pt idx="15">
                  <c:v>64</c:v>
                </c:pt>
                <c:pt idx="16">
                  <c:v>68</c:v>
                </c:pt>
                <c:pt idx="17">
                  <c:v>72</c:v>
                </c:pt>
                <c:pt idx="18">
                  <c:v>76</c:v>
                </c:pt>
                <c:pt idx="19">
                  <c:v>80</c:v>
                </c:pt>
                <c:pt idx="20">
                  <c:v>84</c:v>
                </c:pt>
                <c:pt idx="21">
                  <c:v>88</c:v>
                </c:pt>
                <c:pt idx="22">
                  <c:v>92</c:v>
                </c:pt>
                <c:pt idx="23">
                  <c:v>96</c:v>
                </c:pt>
              </c:numCache>
            </c:numRef>
          </c:xVal>
          <c:yVal>
            <c:numRef>
              <c:f>'ChargeStates -&gt; MeanValue'!$F$6:$F$29</c:f>
              <c:numCache>
                <c:formatCode>0.000</c:formatCode>
                <c:ptCount val="24"/>
                <c:pt idx="0">
                  <c:v>0.62400000000000011</c:v>
                </c:pt>
                <c:pt idx="1">
                  <c:v>0.16600000000000037</c:v>
                </c:pt>
                <c:pt idx="2">
                  <c:v>8.9999999999999858E-2</c:v>
                </c:pt>
                <c:pt idx="3">
                  <c:v>6.7999999999999616E-2</c:v>
                </c:pt>
                <c:pt idx="4">
                  <c:v>6.2999999999998835E-2</c:v>
                </c:pt>
                <c:pt idx="5">
                  <c:v>6.5999999999998948E-2</c:v>
                </c:pt>
                <c:pt idx="6">
                  <c:v>7.4999999999999289E-2</c:v>
                </c:pt>
                <c:pt idx="7">
                  <c:v>8.8999999999998636E-2</c:v>
                </c:pt>
                <c:pt idx="8">
                  <c:v>0.10799999999999699</c:v>
                </c:pt>
                <c:pt idx="9">
                  <c:v>0.1319999999999979</c:v>
                </c:pt>
                <c:pt idx="10">
                  <c:v>0.16100000000000136</c:v>
                </c:pt>
                <c:pt idx="11">
                  <c:v>0.19500000000000028</c:v>
                </c:pt>
                <c:pt idx="12">
                  <c:v>0.23499999999999943</c:v>
                </c:pt>
                <c:pt idx="13">
                  <c:v>0.28000000000000114</c:v>
                </c:pt>
                <c:pt idx="14">
                  <c:v>0.32999999999999829</c:v>
                </c:pt>
                <c:pt idx="15">
                  <c:v>0.38600000000000279</c:v>
                </c:pt>
                <c:pt idx="16">
                  <c:v>0.44799999999999329</c:v>
                </c:pt>
                <c:pt idx="17">
                  <c:v>0.51600000000000534</c:v>
                </c:pt>
                <c:pt idx="18">
                  <c:v>0.59099999999999397</c:v>
                </c:pt>
                <c:pt idx="19">
                  <c:v>0.67100000000000648</c:v>
                </c:pt>
                <c:pt idx="20">
                  <c:v>0.75799999999999557</c:v>
                </c:pt>
                <c:pt idx="21">
                  <c:v>0.85099999999999909</c:v>
                </c:pt>
                <c:pt idx="22">
                  <c:v>0.95199999999999818</c:v>
                </c:pt>
                <c:pt idx="23">
                  <c:v>1.0580000000000069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33680"/>
        <c:axId val="268134072"/>
      </c:scatterChart>
      <c:valAx>
        <c:axId val="268133680"/>
        <c:scaling>
          <c:orientation val="minMax"/>
          <c:max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Zbeam</a:t>
                </a:r>
              </a:p>
            </c:rich>
          </c:tx>
          <c:layout>
            <c:manualLayout>
              <c:xMode val="edge"/>
              <c:yMode val="edge"/>
              <c:x val="0.48942598187311437"/>
              <c:y val="0.942687747035576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134072"/>
        <c:crosses val="autoZero"/>
        <c:crossBetween val="midCat"/>
      </c:valAx>
      <c:valAx>
        <c:axId val="2681340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Zbeam - &lt;Q&gt;</a:t>
                </a:r>
              </a:p>
            </c:rich>
          </c:tx>
          <c:layout>
            <c:manualLayout>
              <c:xMode val="edge"/>
              <c:yMode val="edge"/>
              <c:x val="1.2084592145015121E-2"/>
              <c:y val="0.3992094861660083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133680"/>
        <c:crosses val="autoZero"/>
        <c:crossBetween val="midCat"/>
        <c:majorUnit val="2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199395770392834"/>
          <c:y val="0.16205533596837945"/>
          <c:w val="0.17975830815710145"/>
          <c:h val="0.2391304347826095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Mean Charge </a:t>
            </a:r>
          </a:p>
        </c:rich>
      </c:tx>
      <c:layout>
        <c:manualLayout>
          <c:xMode val="edge"/>
          <c:yMode val="edge"/>
          <c:x val="0.76923190226701565"/>
          <c:y val="7.6923225089422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481275159777938E-2"/>
          <c:y val="3.5503026964348657E-2"/>
          <c:w val="0.88084594298811292"/>
          <c:h val="0.7633150797334992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'ChargeStates -&gt; MeanValue'!$B$34</c:f>
              <c:strCache>
                <c:ptCount val="1"/>
                <c:pt idx="0">
                  <c:v>Winger</c:v>
                </c:pt>
              </c:strCache>
            </c:strRef>
          </c:tx>
          <c:spPr>
            <a:ln w="25400">
              <a:solidFill>
                <a:srgbClr val="000080"/>
              </a:solidFill>
              <a:prstDash val="lgDashDot"/>
            </a:ln>
          </c:spPr>
          <c:marker>
            <c:symbol val="none"/>
          </c:marker>
          <c:xVal>
            <c:numRef>
              <c:f>'ChargeStates -&gt; MeanValue'!$A$36:$A$53</c:f>
              <c:numCache>
                <c:formatCode>General</c:formatCode>
                <c:ptCount val="18"/>
                <c:pt idx="0">
                  <c:v>4</c:v>
                </c:pt>
                <c:pt idx="1">
                  <c:v>6</c:v>
                </c:pt>
                <c:pt idx="2">
                  <c:v>13</c:v>
                </c:pt>
                <c:pt idx="3">
                  <c:v>14</c:v>
                </c:pt>
                <c:pt idx="4">
                  <c:v>18</c:v>
                </c:pt>
                <c:pt idx="5">
                  <c:v>22</c:v>
                </c:pt>
                <c:pt idx="6">
                  <c:v>28</c:v>
                </c:pt>
                <c:pt idx="7">
                  <c:v>29</c:v>
                </c:pt>
                <c:pt idx="8">
                  <c:v>32</c:v>
                </c:pt>
                <c:pt idx="9">
                  <c:v>36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73</c:v>
                </c:pt>
                <c:pt idx="14">
                  <c:v>74</c:v>
                </c:pt>
                <c:pt idx="15">
                  <c:v>79</c:v>
                </c:pt>
                <c:pt idx="16">
                  <c:v>82</c:v>
                </c:pt>
                <c:pt idx="17">
                  <c:v>92</c:v>
                </c:pt>
              </c:numCache>
            </c:numRef>
          </c:xVal>
          <c:yVal>
            <c:numRef>
              <c:f>'ChargeStates -&gt; MeanValue'!$B$36:$B$53</c:f>
              <c:numCache>
                <c:formatCode>0.000</c:formatCode>
                <c:ptCount val="18"/>
                <c:pt idx="0">
                  <c:v>1.5450000000000017</c:v>
                </c:pt>
                <c:pt idx="1">
                  <c:v>1.5160000000000053</c:v>
                </c:pt>
                <c:pt idx="2">
                  <c:v>1.7830000000000013</c:v>
                </c:pt>
                <c:pt idx="3">
                  <c:v>1.8190000000000026</c:v>
                </c:pt>
                <c:pt idx="4">
                  <c:v>1.9440000000000026</c:v>
                </c:pt>
                <c:pt idx="5">
                  <c:v>2.0439999999999969</c:v>
                </c:pt>
                <c:pt idx="6">
                  <c:v>2.1569999999999965</c:v>
                </c:pt>
                <c:pt idx="7">
                  <c:v>2.171999999999997</c:v>
                </c:pt>
                <c:pt idx="8">
                  <c:v>2.2139999999999986</c:v>
                </c:pt>
                <c:pt idx="9">
                  <c:v>2.2590000000000003</c:v>
                </c:pt>
                <c:pt idx="10">
                  <c:v>2.3430000000000035</c:v>
                </c:pt>
                <c:pt idx="11">
                  <c:v>2.3730000000000047</c:v>
                </c:pt>
                <c:pt idx="12">
                  <c:v>2.3960000000000008</c:v>
                </c:pt>
                <c:pt idx="13">
                  <c:v>2.4050000000000011</c:v>
                </c:pt>
                <c:pt idx="14">
                  <c:v>2.4050000000000011</c:v>
                </c:pt>
                <c:pt idx="15">
                  <c:v>2.4039999999999964</c:v>
                </c:pt>
                <c:pt idx="16">
                  <c:v>2.4030000000000058</c:v>
                </c:pt>
                <c:pt idx="17">
                  <c:v>2.3930000000000007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'ChargeStates -&gt; MeanValue'!$C$34</c:f>
              <c:strCache>
                <c:ptCount val="1"/>
                <c:pt idx="0">
                  <c:v>Leon</c:v>
                </c:pt>
              </c:strCache>
            </c:strRef>
          </c:tx>
          <c:spPr>
            <a:ln w="25400">
              <a:solidFill>
                <a:srgbClr val="336666"/>
              </a:solidFill>
              <a:prstDash val="lgDash"/>
            </a:ln>
          </c:spPr>
          <c:marker>
            <c:symbol val="none"/>
          </c:marker>
          <c:xVal>
            <c:numRef>
              <c:f>'ChargeStates -&gt; MeanValue'!$A$36:$A$53</c:f>
              <c:numCache>
                <c:formatCode>General</c:formatCode>
                <c:ptCount val="18"/>
                <c:pt idx="0">
                  <c:v>4</c:v>
                </c:pt>
                <c:pt idx="1">
                  <c:v>6</c:v>
                </c:pt>
                <c:pt idx="2">
                  <c:v>13</c:v>
                </c:pt>
                <c:pt idx="3">
                  <c:v>14</c:v>
                </c:pt>
                <c:pt idx="4">
                  <c:v>18</c:v>
                </c:pt>
                <c:pt idx="5">
                  <c:v>22</c:v>
                </c:pt>
                <c:pt idx="6">
                  <c:v>28</c:v>
                </c:pt>
                <c:pt idx="7">
                  <c:v>29</c:v>
                </c:pt>
                <c:pt idx="8">
                  <c:v>32</c:v>
                </c:pt>
                <c:pt idx="9">
                  <c:v>36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73</c:v>
                </c:pt>
                <c:pt idx="14">
                  <c:v>74</c:v>
                </c:pt>
                <c:pt idx="15">
                  <c:v>79</c:v>
                </c:pt>
                <c:pt idx="16">
                  <c:v>82</c:v>
                </c:pt>
                <c:pt idx="17">
                  <c:v>92</c:v>
                </c:pt>
              </c:numCache>
            </c:numRef>
          </c:xVal>
          <c:yVal>
            <c:numRef>
              <c:f>'ChargeStates -&gt; MeanValue'!$C$36:$C$53</c:f>
              <c:numCache>
                <c:formatCode>0.000</c:formatCode>
                <c:ptCount val="18"/>
                <c:pt idx="0">
                  <c:v>2.4989999999999952</c:v>
                </c:pt>
                <c:pt idx="1">
                  <c:v>2.0379999999999967</c:v>
                </c:pt>
                <c:pt idx="2">
                  <c:v>2.777000000000001</c:v>
                </c:pt>
                <c:pt idx="3">
                  <c:v>3.0169999999999959</c:v>
                </c:pt>
                <c:pt idx="4">
                  <c:v>3.7990000000000066</c:v>
                </c:pt>
                <c:pt idx="5">
                  <c:v>4.2860000000000014</c:v>
                </c:pt>
                <c:pt idx="6">
                  <c:v>4.6500000000000057</c:v>
                </c:pt>
                <c:pt idx="7">
                  <c:v>4.6850000000000023</c:v>
                </c:pt>
                <c:pt idx="8">
                  <c:v>4.7609999999999957</c:v>
                </c:pt>
                <c:pt idx="9">
                  <c:v>4.820999999999998</c:v>
                </c:pt>
                <c:pt idx="10">
                  <c:v>4.8760000000000048</c:v>
                </c:pt>
                <c:pt idx="11">
                  <c:v>4.8840000000000003</c:v>
                </c:pt>
                <c:pt idx="12">
                  <c:v>4.8870000000000005</c:v>
                </c:pt>
                <c:pt idx="13">
                  <c:v>4.8880000000000052</c:v>
                </c:pt>
                <c:pt idx="14">
                  <c:v>4.8880000000000052</c:v>
                </c:pt>
                <c:pt idx="15">
                  <c:v>4.8880000000000052</c:v>
                </c:pt>
                <c:pt idx="16">
                  <c:v>4.8880000000000052</c:v>
                </c:pt>
                <c:pt idx="17">
                  <c:v>4.8880000000000052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'ChargeStates -&gt; MeanValue'!$D$34</c:f>
              <c:strCache>
                <c:ptCount val="1"/>
                <c:pt idx="0">
                  <c:v>Schima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'ChargeStates -&gt; MeanValue'!$A$36:$A$53</c:f>
              <c:numCache>
                <c:formatCode>General</c:formatCode>
                <c:ptCount val="18"/>
                <c:pt idx="0">
                  <c:v>4</c:v>
                </c:pt>
                <c:pt idx="1">
                  <c:v>6</c:v>
                </c:pt>
                <c:pt idx="2">
                  <c:v>13</c:v>
                </c:pt>
                <c:pt idx="3">
                  <c:v>14</c:v>
                </c:pt>
                <c:pt idx="4">
                  <c:v>18</c:v>
                </c:pt>
                <c:pt idx="5">
                  <c:v>22</c:v>
                </c:pt>
                <c:pt idx="6">
                  <c:v>28</c:v>
                </c:pt>
                <c:pt idx="7">
                  <c:v>29</c:v>
                </c:pt>
                <c:pt idx="8">
                  <c:v>32</c:v>
                </c:pt>
                <c:pt idx="9">
                  <c:v>36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73</c:v>
                </c:pt>
                <c:pt idx="14">
                  <c:v>74</c:v>
                </c:pt>
                <c:pt idx="15">
                  <c:v>79</c:v>
                </c:pt>
                <c:pt idx="16">
                  <c:v>82</c:v>
                </c:pt>
                <c:pt idx="17">
                  <c:v>92</c:v>
                </c:pt>
              </c:numCache>
            </c:numRef>
          </c:xVal>
          <c:yVal>
            <c:numRef>
              <c:f>'ChargeStates -&gt; MeanValue'!$D$36:$D$53</c:f>
              <c:numCache>
                <c:formatCode>0.000</c:formatCode>
                <c:ptCount val="18"/>
                <c:pt idx="0">
                  <c:v>0</c:v>
                </c:pt>
                <c:pt idx="1">
                  <c:v>1.0000000000047748E-3</c:v>
                </c:pt>
                <c:pt idx="2">
                  <c:v>2.3979999999999961</c:v>
                </c:pt>
                <c:pt idx="3">
                  <c:v>2.703000000000003</c:v>
                </c:pt>
                <c:pt idx="4">
                  <c:v>3.8250000000000028</c:v>
                </c:pt>
                <c:pt idx="5">
                  <c:v>4.7939999999999969</c:v>
                </c:pt>
                <c:pt idx="6">
                  <c:v>5.9609999999999985</c:v>
                </c:pt>
                <c:pt idx="7">
                  <c:v>6.1219999999999999</c:v>
                </c:pt>
                <c:pt idx="8">
                  <c:v>6.5480000000000018</c:v>
                </c:pt>
                <c:pt idx="9">
                  <c:v>6.9819999999999993</c:v>
                </c:pt>
                <c:pt idx="10">
                  <c:v>7.3880000000000052</c:v>
                </c:pt>
                <c:pt idx="11">
                  <c:v>7.0450000000000017</c:v>
                </c:pt>
                <c:pt idx="12">
                  <c:v>5.9159999999999968</c:v>
                </c:pt>
                <c:pt idx="13">
                  <c:v>3.7530000000000001</c:v>
                </c:pt>
                <c:pt idx="14">
                  <c:v>3.4849999999999994</c:v>
                </c:pt>
                <c:pt idx="15">
                  <c:v>1.9980000000000047</c:v>
                </c:pt>
                <c:pt idx="16">
                  <c:v>0.99099999999999966</c:v>
                </c:pt>
                <c:pt idx="17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'ChargeStates -&gt; MeanValue'!$E$34</c:f>
              <c:strCache>
                <c:ptCount val="1"/>
                <c:pt idx="0">
                  <c:v>Global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'ChargeStates -&gt; MeanValue'!$A$36:$A$53</c:f>
              <c:numCache>
                <c:formatCode>General</c:formatCode>
                <c:ptCount val="18"/>
                <c:pt idx="0">
                  <c:v>4</c:v>
                </c:pt>
                <c:pt idx="1">
                  <c:v>6</c:v>
                </c:pt>
                <c:pt idx="2">
                  <c:v>13</c:v>
                </c:pt>
                <c:pt idx="3">
                  <c:v>14</c:v>
                </c:pt>
                <c:pt idx="4">
                  <c:v>18</c:v>
                </c:pt>
                <c:pt idx="5">
                  <c:v>22</c:v>
                </c:pt>
                <c:pt idx="6">
                  <c:v>28</c:v>
                </c:pt>
                <c:pt idx="7">
                  <c:v>29</c:v>
                </c:pt>
                <c:pt idx="8">
                  <c:v>32</c:v>
                </c:pt>
                <c:pt idx="9">
                  <c:v>36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73</c:v>
                </c:pt>
                <c:pt idx="14">
                  <c:v>74</c:v>
                </c:pt>
                <c:pt idx="15">
                  <c:v>79</c:v>
                </c:pt>
                <c:pt idx="16">
                  <c:v>82</c:v>
                </c:pt>
                <c:pt idx="17">
                  <c:v>92</c:v>
                </c:pt>
              </c:numCache>
            </c:numRef>
          </c:xVal>
          <c:yVal>
            <c:numRef>
              <c:f>'ChargeStates -&gt; MeanValue'!$E$36:$E$53</c:f>
              <c:numCache>
                <c:formatCode>0.000</c:formatCode>
                <c:ptCount val="18"/>
                <c:pt idx="0">
                  <c:v>1.7759999999999962</c:v>
                </c:pt>
                <c:pt idx="1">
                  <c:v>1.6479999999999961</c:v>
                </c:pt>
                <c:pt idx="2">
                  <c:v>1.5180000000000007</c:v>
                </c:pt>
                <c:pt idx="3">
                  <c:v>1.534000000000006</c:v>
                </c:pt>
                <c:pt idx="4">
                  <c:v>1.7349999999999994</c:v>
                </c:pt>
                <c:pt idx="5">
                  <c:v>1.7480000000000047</c:v>
                </c:pt>
                <c:pt idx="6">
                  <c:v>1.8910000000000053</c:v>
                </c:pt>
                <c:pt idx="7">
                  <c:v>1.909000000000006</c:v>
                </c:pt>
                <c:pt idx="8">
                  <c:v>1.9300000000000068</c:v>
                </c:pt>
                <c:pt idx="9">
                  <c:v>2.242999999999995</c:v>
                </c:pt>
                <c:pt idx="10">
                  <c:v>2.0280000000000058</c:v>
                </c:pt>
                <c:pt idx="11">
                  <c:v>2.2180000000000035</c:v>
                </c:pt>
                <c:pt idx="12">
                  <c:v>2.0720000000000027</c:v>
                </c:pt>
                <c:pt idx="13">
                  <c:v>2.0630000000000024</c:v>
                </c:pt>
                <c:pt idx="14">
                  <c:v>2.0600000000000023</c:v>
                </c:pt>
                <c:pt idx="15">
                  <c:v>2.0439999999999969</c:v>
                </c:pt>
                <c:pt idx="16">
                  <c:v>2.0319999999999965</c:v>
                </c:pt>
                <c:pt idx="17">
                  <c:v>2.0829999999999984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'ChargeStates -&gt; MeanValue'!$F$34</c:f>
              <c:strCache>
                <c:ptCount val="1"/>
                <c:pt idx="0">
                  <c:v>Schiwietz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'ChargeStates -&gt; MeanValue'!$A$36:$A$53</c:f>
              <c:numCache>
                <c:formatCode>General</c:formatCode>
                <c:ptCount val="18"/>
                <c:pt idx="0">
                  <c:v>4</c:v>
                </c:pt>
                <c:pt idx="1">
                  <c:v>6</c:v>
                </c:pt>
                <c:pt idx="2">
                  <c:v>13</c:v>
                </c:pt>
                <c:pt idx="3">
                  <c:v>14</c:v>
                </c:pt>
                <c:pt idx="4">
                  <c:v>18</c:v>
                </c:pt>
                <c:pt idx="5">
                  <c:v>22</c:v>
                </c:pt>
                <c:pt idx="6">
                  <c:v>28</c:v>
                </c:pt>
                <c:pt idx="7">
                  <c:v>29</c:v>
                </c:pt>
                <c:pt idx="8">
                  <c:v>32</c:v>
                </c:pt>
                <c:pt idx="9">
                  <c:v>36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73</c:v>
                </c:pt>
                <c:pt idx="14">
                  <c:v>74</c:v>
                </c:pt>
                <c:pt idx="15">
                  <c:v>79</c:v>
                </c:pt>
                <c:pt idx="16">
                  <c:v>82</c:v>
                </c:pt>
                <c:pt idx="17">
                  <c:v>92</c:v>
                </c:pt>
              </c:numCache>
            </c:numRef>
          </c:xVal>
          <c:yVal>
            <c:numRef>
              <c:f>'ChargeStates -&gt; MeanValue'!$F$36:$F$53</c:f>
              <c:numCache>
                <c:formatCode>0.000</c:formatCode>
                <c:ptCount val="18"/>
                <c:pt idx="0">
                  <c:v>0.30200000000000671</c:v>
                </c:pt>
                <c:pt idx="1">
                  <c:v>0.50400000000000489</c:v>
                </c:pt>
                <c:pt idx="2">
                  <c:v>1.0499999999999972</c:v>
                </c:pt>
                <c:pt idx="3">
                  <c:v>1.1149999999999949</c:v>
                </c:pt>
                <c:pt idx="4">
                  <c:v>1.3529999999999944</c:v>
                </c:pt>
                <c:pt idx="5">
                  <c:v>1.5649999999999977</c:v>
                </c:pt>
                <c:pt idx="6">
                  <c:v>1.8449999999999989</c:v>
                </c:pt>
                <c:pt idx="7">
                  <c:v>1.8880000000000052</c:v>
                </c:pt>
                <c:pt idx="8">
                  <c:v>2.0130000000000052</c:v>
                </c:pt>
                <c:pt idx="9">
                  <c:v>2.1680000000000064</c:v>
                </c:pt>
                <c:pt idx="10">
                  <c:v>2.546999999999997</c:v>
                </c:pt>
                <c:pt idx="11">
                  <c:v>2.7590000000000003</c:v>
                </c:pt>
                <c:pt idx="12">
                  <c:v>3.007000000000005</c:v>
                </c:pt>
                <c:pt idx="13">
                  <c:v>3.2560000000000002</c:v>
                </c:pt>
                <c:pt idx="14">
                  <c:v>3.2800000000000011</c:v>
                </c:pt>
                <c:pt idx="15">
                  <c:v>3.394999999999996</c:v>
                </c:pt>
                <c:pt idx="16">
                  <c:v>3.4609999999999985</c:v>
                </c:pt>
                <c:pt idx="17">
                  <c:v>3.6710000000000065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32896"/>
        <c:axId val="268132504"/>
      </c:scatterChart>
      <c:valAx>
        <c:axId val="268132896"/>
        <c:scaling>
          <c:orientation val="minMax"/>
          <c:max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Ztarget</a:t>
                </a:r>
              </a:p>
            </c:rich>
          </c:tx>
          <c:layout>
            <c:manualLayout>
              <c:xMode val="edge"/>
              <c:yMode val="edge"/>
              <c:x val="0.48718020476910995"/>
              <c:y val="0.869824160626545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132504"/>
        <c:crosses val="autoZero"/>
        <c:crossBetween val="midCat"/>
      </c:valAx>
      <c:valAx>
        <c:axId val="2681325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Zbeam - &lt;Q&gt;</a:t>
                </a:r>
              </a:p>
            </c:rich>
          </c:tx>
          <c:layout>
            <c:manualLayout>
              <c:xMode val="edge"/>
              <c:yMode val="edge"/>
              <c:x val="1.3574680628241404E-2"/>
              <c:y val="0.327416804226773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8132896"/>
        <c:crosses val="autoZero"/>
        <c:crossBetween val="midCat"/>
        <c:majorUnit val="2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256425363560233"/>
          <c:y val="6.5088882767972547E-2"/>
          <c:w val="0.17948744386230536"/>
          <c:h val="0.238659236815900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work!$B$4</c:f>
              <c:strCache>
                <c:ptCount val="1"/>
                <c:pt idx="0">
                  <c:v>FRACS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work!$A$5:$A$51</c:f>
              <c:numCache>
                <c:formatCode>0.0</c:formatCode>
                <c:ptCount val="47"/>
                <c:pt idx="0">
                  <c:v>1</c:v>
                </c:pt>
                <c:pt idx="1">
                  <c:v>1.22</c:v>
                </c:pt>
                <c:pt idx="2">
                  <c:v>1.4883999999999999</c:v>
                </c:pt>
                <c:pt idx="3">
                  <c:v>1.8158479999999999</c:v>
                </c:pt>
                <c:pt idx="4">
                  <c:v>2.2153345599999996</c:v>
                </c:pt>
                <c:pt idx="5">
                  <c:v>2.7027081631999996</c:v>
                </c:pt>
                <c:pt idx="6">
                  <c:v>3.2973039591039996</c:v>
                </c:pt>
                <c:pt idx="7">
                  <c:v>4.0227108301068792</c:v>
                </c:pt>
                <c:pt idx="8">
                  <c:v>4.9077072127303927</c:v>
                </c:pt>
                <c:pt idx="9">
                  <c:v>5.987402799531079</c:v>
                </c:pt>
                <c:pt idx="10">
                  <c:v>7.3046314154279166</c:v>
                </c:pt>
                <c:pt idx="11">
                  <c:v>8.9116503268220573</c:v>
                </c:pt>
                <c:pt idx="12">
                  <c:v>10.872213398722909</c:v>
                </c:pt>
                <c:pt idx="13">
                  <c:v>13.26410034644195</c:v>
                </c:pt>
                <c:pt idx="14">
                  <c:v>16.182202422659177</c:v>
                </c:pt>
                <c:pt idx="15">
                  <c:v>19.742286955644197</c:v>
                </c:pt>
                <c:pt idx="16">
                  <c:v>24.085590085885919</c:v>
                </c:pt>
                <c:pt idx="17">
                  <c:v>29.38441990478082</c:v>
                </c:pt>
                <c:pt idx="18">
                  <c:v>35.848992283832601</c:v>
                </c:pt>
                <c:pt idx="19">
                  <c:v>43.73577058627577</c:v>
                </c:pt>
                <c:pt idx="20">
                  <c:v>53.357640115256437</c:v>
                </c:pt>
                <c:pt idx="21">
                  <c:v>65.096320940612856</c:v>
                </c:pt>
                <c:pt idx="22">
                  <c:v>79.417511547547676</c:v>
                </c:pt>
                <c:pt idx="23">
                  <c:v>96.889364088008165</c:v>
                </c:pt>
                <c:pt idx="24">
                  <c:v>118.20502418736996</c:v>
                </c:pt>
                <c:pt idx="25">
                  <c:v>144.21012950859134</c:v>
                </c:pt>
                <c:pt idx="26">
                  <c:v>175.93635800048142</c:v>
                </c:pt>
                <c:pt idx="27">
                  <c:v>214.64235676058732</c:v>
                </c:pt>
                <c:pt idx="28">
                  <c:v>261.86367524791655</c:v>
                </c:pt>
                <c:pt idx="29">
                  <c:v>319.4736838024582</c:v>
                </c:pt>
                <c:pt idx="30">
                  <c:v>389.75789423899897</c:v>
                </c:pt>
                <c:pt idx="31">
                  <c:v>475.50463097157876</c:v>
                </c:pt>
                <c:pt idx="32">
                  <c:v>580.11564978532613</c:v>
                </c:pt>
                <c:pt idx="33">
                  <c:v>707.7410927380979</c:v>
                </c:pt>
                <c:pt idx="34">
                  <c:v>863.44413314047938</c:v>
                </c:pt>
                <c:pt idx="35">
                  <c:v>1053.4018424313849</c:v>
                </c:pt>
                <c:pt idx="36">
                  <c:v>1285.1502477662896</c:v>
                </c:pt>
                <c:pt idx="37">
                  <c:v>1567.8833022748731</c:v>
                </c:pt>
                <c:pt idx="38">
                  <c:v>1912.8176287753452</c:v>
                </c:pt>
                <c:pt idx="39">
                  <c:v>2333.637507105921</c:v>
                </c:pt>
                <c:pt idx="40">
                  <c:v>2847.0377586692234</c:v>
                </c:pt>
                <c:pt idx="41">
                  <c:v>3473.3860655764524</c:v>
                </c:pt>
                <c:pt idx="42">
                  <c:v>4237.5310000032723</c:v>
                </c:pt>
                <c:pt idx="43">
                  <c:v>5169.7878200039922</c:v>
                </c:pt>
                <c:pt idx="44">
                  <c:v>6307.1411404048704</c:v>
                </c:pt>
                <c:pt idx="45">
                  <c:v>7694.7121912939419</c:v>
                </c:pt>
                <c:pt idx="46">
                  <c:v>9387.5488733786096</c:v>
                </c:pt>
              </c:numCache>
            </c:numRef>
          </c:xVal>
          <c:yVal>
            <c:numRef>
              <c:f>work!$B$5:$B$51</c:f>
              <c:numCache>
                <c:formatCode>0.00E+00</c:formatCode>
                <c:ptCount val="47"/>
                <c:pt idx="0">
                  <c:v>6.4179331217170556E-20</c:v>
                </c:pt>
                <c:pt idx="1">
                  <c:v>7.1571604576909446E-17</c:v>
                </c:pt>
                <c:pt idx="2">
                  <c:v>2.1746654046385114E-14</c:v>
                </c:pt>
                <c:pt idx="3">
                  <c:v>2.2764673799858634E-12</c:v>
                </c:pt>
                <c:pt idx="4">
                  <c:v>9.9517323979992985E-11</c:v>
                </c:pt>
                <c:pt idx="5">
                  <c:v>2.1272046924621642E-9</c:v>
                </c:pt>
                <c:pt idx="6">
                  <c:v>2.530285641944772E-8</c:v>
                </c:pt>
                <c:pt idx="7">
                  <c:v>1.8623226753574922E-7</c:v>
                </c:pt>
                <c:pt idx="8">
                  <c:v>9.2526612836936249E-7</c:v>
                </c:pt>
                <c:pt idx="9">
                  <c:v>3.3329569758581888E-6</c:v>
                </c:pt>
                <c:pt idx="10">
                  <c:v>9.2304112774862764E-6</c:v>
                </c:pt>
                <c:pt idx="11">
                  <c:v>2.0624189111725304E-5</c:v>
                </c:pt>
                <c:pt idx="12">
                  <c:v>3.8682823281141082E-5</c:v>
                </c:pt>
                <c:pt idx="13">
                  <c:v>6.2925540603939596E-5</c:v>
                </c:pt>
                <c:pt idx="14">
                  <c:v>9.1201029155833546E-5</c:v>
                </c:pt>
                <c:pt idx="15">
                  <c:v>1.2042014734807648E-4</c:v>
                </c:pt>
                <c:pt idx="16">
                  <c:v>1.4754399009445492E-4</c:v>
                </c:pt>
                <c:pt idx="17">
                  <c:v>1.7033127035451486E-4</c:v>
                </c:pt>
                <c:pt idx="18">
                  <c:v>1.8763583178508966E-4</c:v>
                </c:pt>
                <c:pt idx="19">
                  <c:v>1.993174141160763E-4</c:v>
                </c:pt>
                <c:pt idx="20">
                  <c:v>2.0594691398910915E-4</c:v>
                </c:pt>
                <c:pt idx="21">
                  <c:v>2.0847364467511465E-4</c:v>
                </c:pt>
                <c:pt idx="22">
                  <c:v>2.0795352388371284E-4</c:v>
                </c:pt>
                <c:pt idx="23">
                  <c:v>2.0537141891943157E-4</c:v>
                </c:pt>
                <c:pt idx="24">
                  <c:v>2.0155026793125235E-4</c:v>
                </c:pt>
                <c:pt idx="25">
                  <c:v>1.9712315667046409E-4</c:v>
                </c:pt>
                <c:pt idx="26">
                  <c:v>1.9254327019831198E-4</c:v>
                </c:pt>
                <c:pt idx="27">
                  <c:v>1.8811206528088328E-4</c:v>
                </c:pt>
                <c:pt idx="28">
                  <c:v>1.8401279642200896E-4</c:v>
                </c:pt>
                <c:pt idx="29">
                  <c:v>1.8034223021432384E-4</c:v>
                </c:pt>
                <c:pt idx="30">
                  <c:v>1.7713733556638266E-4</c:v>
                </c:pt>
                <c:pt idx="31">
                  <c:v>1.7439611393210293E-4</c:v>
                </c:pt>
                <c:pt idx="32">
                  <c:v>1.7209296678805883E-4</c:v>
                </c:pt>
                <c:pt idx="33">
                  <c:v>1.7018950844185671E-4</c:v>
                </c:pt>
                <c:pt idx="34">
                  <c:v>1.6864183863918951E-4</c:v>
                </c:pt>
                <c:pt idx="35">
                  <c:v>1.6770114470781764E-4</c:v>
                </c:pt>
                <c:pt idx="36">
                  <c:v>1.6770114470781764E-4</c:v>
                </c:pt>
                <c:pt idx="37">
                  <c:v>1.6770114470781764E-4</c:v>
                </c:pt>
                <c:pt idx="38">
                  <c:v>1.6770114470781764E-4</c:v>
                </c:pt>
                <c:pt idx="39">
                  <c:v>1.6770114470781764E-4</c:v>
                </c:pt>
                <c:pt idx="40">
                  <c:v>1.6770114470781764E-4</c:v>
                </c:pt>
                <c:pt idx="41">
                  <c:v>1.6770114470781764E-4</c:v>
                </c:pt>
                <c:pt idx="42">
                  <c:v>1.6770114470781764E-4</c:v>
                </c:pt>
                <c:pt idx="43">
                  <c:v>1.6770114470781764E-4</c:v>
                </c:pt>
                <c:pt idx="44">
                  <c:v>1.6770114470781764E-4</c:v>
                </c:pt>
                <c:pt idx="45">
                  <c:v>1.6770114470781764E-4</c:v>
                </c:pt>
                <c:pt idx="46">
                  <c:v>1.6770114470781764E-4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36032"/>
        <c:axId val="268136424"/>
      </c:scatterChart>
      <c:valAx>
        <c:axId val="26813603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Energy, MeV/u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36424"/>
        <c:crosses val="autoZero"/>
        <c:crossBetween val="midCat"/>
      </c:valAx>
      <c:valAx>
        <c:axId val="268136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Cross Section, mb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0.3524447801690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36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work!$B$4</c:f>
              <c:strCache>
                <c:ptCount val="1"/>
                <c:pt idx="0">
                  <c:v>FRACS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work!$A$5:$A$51</c:f>
              <c:numCache>
                <c:formatCode>0.0</c:formatCode>
                <c:ptCount val="47"/>
                <c:pt idx="0">
                  <c:v>1</c:v>
                </c:pt>
                <c:pt idx="1">
                  <c:v>1.22</c:v>
                </c:pt>
                <c:pt idx="2">
                  <c:v>1.4883999999999999</c:v>
                </c:pt>
                <c:pt idx="3">
                  <c:v>1.8158479999999999</c:v>
                </c:pt>
                <c:pt idx="4">
                  <c:v>2.2153345599999996</c:v>
                </c:pt>
                <c:pt idx="5">
                  <c:v>2.7027081631999996</c:v>
                </c:pt>
                <c:pt idx="6">
                  <c:v>3.2973039591039996</c:v>
                </c:pt>
                <c:pt idx="7">
                  <c:v>4.0227108301068792</c:v>
                </c:pt>
                <c:pt idx="8">
                  <c:v>4.9077072127303927</c:v>
                </c:pt>
                <c:pt idx="9">
                  <c:v>5.987402799531079</c:v>
                </c:pt>
                <c:pt idx="10">
                  <c:v>7.3046314154279166</c:v>
                </c:pt>
                <c:pt idx="11">
                  <c:v>8.9116503268220573</c:v>
                </c:pt>
                <c:pt idx="12">
                  <c:v>10.872213398722909</c:v>
                </c:pt>
                <c:pt idx="13">
                  <c:v>13.26410034644195</c:v>
                </c:pt>
                <c:pt idx="14">
                  <c:v>16.182202422659177</c:v>
                </c:pt>
                <c:pt idx="15">
                  <c:v>19.742286955644197</c:v>
                </c:pt>
                <c:pt idx="16">
                  <c:v>24.085590085885919</c:v>
                </c:pt>
                <c:pt idx="17">
                  <c:v>29.38441990478082</c:v>
                </c:pt>
                <c:pt idx="18">
                  <c:v>35.848992283832601</c:v>
                </c:pt>
                <c:pt idx="19">
                  <c:v>43.73577058627577</c:v>
                </c:pt>
                <c:pt idx="20">
                  <c:v>53.357640115256437</c:v>
                </c:pt>
                <c:pt idx="21">
                  <c:v>65.096320940612856</c:v>
                </c:pt>
                <c:pt idx="22">
                  <c:v>79.417511547547676</c:v>
                </c:pt>
                <c:pt idx="23">
                  <c:v>96.889364088008165</c:v>
                </c:pt>
                <c:pt idx="24">
                  <c:v>118.20502418736996</c:v>
                </c:pt>
                <c:pt idx="25">
                  <c:v>144.21012950859134</c:v>
                </c:pt>
                <c:pt idx="26">
                  <c:v>175.93635800048142</c:v>
                </c:pt>
                <c:pt idx="27">
                  <c:v>214.64235676058732</c:v>
                </c:pt>
                <c:pt idx="28">
                  <c:v>261.86367524791655</c:v>
                </c:pt>
                <c:pt idx="29">
                  <c:v>319.4736838024582</c:v>
                </c:pt>
                <c:pt idx="30">
                  <c:v>389.75789423899897</c:v>
                </c:pt>
                <c:pt idx="31">
                  <c:v>475.50463097157876</c:v>
                </c:pt>
                <c:pt idx="32">
                  <c:v>580.11564978532613</c:v>
                </c:pt>
                <c:pt idx="33">
                  <c:v>707.7410927380979</c:v>
                </c:pt>
                <c:pt idx="34">
                  <c:v>863.44413314047938</c:v>
                </c:pt>
                <c:pt idx="35">
                  <c:v>1053.4018424313849</c:v>
                </c:pt>
                <c:pt idx="36">
                  <c:v>1285.1502477662896</c:v>
                </c:pt>
                <c:pt idx="37">
                  <c:v>1567.8833022748731</c:v>
                </c:pt>
                <c:pt idx="38">
                  <c:v>1912.8176287753452</c:v>
                </c:pt>
                <c:pt idx="39">
                  <c:v>2333.637507105921</c:v>
                </c:pt>
                <c:pt idx="40">
                  <c:v>2847.0377586692234</c:v>
                </c:pt>
                <c:pt idx="41">
                  <c:v>3473.3860655764524</c:v>
                </c:pt>
                <c:pt idx="42">
                  <c:v>4237.5310000032723</c:v>
                </c:pt>
                <c:pt idx="43">
                  <c:v>5169.7878200039922</c:v>
                </c:pt>
                <c:pt idx="44">
                  <c:v>6307.1411404048704</c:v>
                </c:pt>
                <c:pt idx="45">
                  <c:v>7694.7121912939419</c:v>
                </c:pt>
                <c:pt idx="46">
                  <c:v>9387.5488733786096</c:v>
                </c:pt>
              </c:numCache>
            </c:numRef>
          </c:xVal>
          <c:yVal>
            <c:numRef>
              <c:f>work!$C$5:$C$51</c:f>
              <c:numCache>
                <c:formatCode>0.0</c:formatCode>
                <c:ptCount val="47"/>
                <c:pt idx="0">
                  <c:v>3.9489999999999998</c:v>
                </c:pt>
                <c:pt idx="1">
                  <c:v>4.4340000000000002</c:v>
                </c:pt>
                <c:pt idx="2">
                  <c:v>5.0049999999999999</c:v>
                </c:pt>
                <c:pt idx="3">
                  <c:v>5.6859999999999999</c:v>
                </c:pt>
                <c:pt idx="4">
                  <c:v>6.5019999999999998</c:v>
                </c:pt>
                <c:pt idx="5">
                  <c:v>7.476</c:v>
                </c:pt>
                <c:pt idx="6">
                  <c:v>8.6449999999999996</c:v>
                </c:pt>
                <c:pt idx="7">
                  <c:v>10.065</c:v>
                </c:pt>
                <c:pt idx="8">
                  <c:v>11.82</c:v>
                </c:pt>
                <c:pt idx="9">
                  <c:v>14.005000000000001</c:v>
                </c:pt>
                <c:pt idx="10">
                  <c:v>16.738</c:v>
                </c:pt>
                <c:pt idx="11">
                  <c:v>20.181000000000001</c:v>
                </c:pt>
                <c:pt idx="12">
                  <c:v>24.478999999999999</c:v>
                </c:pt>
                <c:pt idx="13">
                  <c:v>29.805</c:v>
                </c:pt>
                <c:pt idx="14">
                  <c:v>36.601999999999997</c:v>
                </c:pt>
                <c:pt idx="15">
                  <c:v>45.354999999999997</c:v>
                </c:pt>
                <c:pt idx="16">
                  <c:v>56.737000000000002</c:v>
                </c:pt>
                <c:pt idx="17">
                  <c:v>71.668000000000006</c:v>
                </c:pt>
                <c:pt idx="18">
                  <c:v>91.412999999999997</c:v>
                </c:pt>
                <c:pt idx="19">
                  <c:v>117.71899999999999</c:v>
                </c:pt>
                <c:pt idx="20">
                  <c:v>153.00200000000001</c:v>
                </c:pt>
                <c:pt idx="21">
                  <c:v>200.60300000000001</c:v>
                </c:pt>
                <c:pt idx="22">
                  <c:v>265.13799999999998</c:v>
                </c:pt>
                <c:pt idx="23">
                  <c:v>352.976</c:v>
                </c:pt>
                <c:pt idx="24">
                  <c:v>472.86700000000002</c:v>
                </c:pt>
                <c:pt idx="25">
                  <c:v>636.75699999999995</c:v>
                </c:pt>
                <c:pt idx="26">
                  <c:v>860.83500000000004</c:v>
                </c:pt>
                <c:pt idx="27">
                  <c:v>1166.8130000000001</c:v>
                </c:pt>
                <c:pt idx="28">
                  <c:v>1583.472</c:v>
                </c:pt>
                <c:pt idx="29">
                  <c:v>2148.3780000000002</c:v>
                </c:pt>
                <c:pt idx="30">
                  <c:v>2909.7919999999999</c:v>
                </c:pt>
                <c:pt idx="31">
                  <c:v>3928.5459999999998</c:v>
                </c:pt>
                <c:pt idx="32">
                  <c:v>5279.7839999999997</c:v>
                </c:pt>
                <c:pt idx="33">
                  <c:v>7054.2780000000002</c:v>
                </c:pt>
                <c:pt idx="34">
                  <c:v>9359.1849999999995</c:v>
                </c:pt>
                <c:pt idx="35">
                  <c:v>12317.832</c:v>
                </c:pt>
                <c:pt idx="36">
                  <c:v>16068.548000000001</c:v>
                </c:pt>
                <c:pt idx="37">
                  <c:v>20762.159</c:v>
                </c:pt>
                <c:pt idx="38">
                  <c:v>26558.234</c:v>
                </c:pt>
                <c:pt idx="39">
                  <c:v>33620.017</c:v>
                </c:pt>
                <c:pt idx="40">
                  <c:v>42108.413</c:v>
                </c:pt>
                <c:pt idx="41">
                  <c:v>52363.504000000001</c:v>
                </c:pt>
                <c:pt idx="42">
                  <c:v>65107.521000000001</c:v>
                </c:pt>
                <c:pt idx="43">
                  <c:v>80953.123999999996</c:v>
                </c:pt>
                <c:pt idx="44">
                  <c:v>100655.166</c:v>
                </c:pt>
                <c:pt idx="45">
                  <c:v>125152.211</c:v>
                </c:pt>
                <c:pt idx="46">
                  <c:v>155611.24600000001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139560"/>
        <c:axId val="268139952"/>
      </c:scatterChart>
      <c:valAx>
        <c:axId val="26813956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Energy, MeV/u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39952"/>
        <c:crosses val="autoZero"/>
        <c:crossBetween val="midCat"/>
      </c:valAx>
      <c:valAx>
        <c:axId val="268139952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Range, mg/cm2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0.3524447801690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39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0.emf"/><Relationship Id="rId1" Type="http://schemas.openxmlformats.org/officeDocument/2006/relationships/image" Target="../media/image17.png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1</xdr:row>
          <xdr:rowOff>352425</xdr:rowOff>
        </xdr:from>
        <xdr:to>
          <xdr:col>1</xdr:col>
          <xdr:colOff>1371600</xdr:colOff>
          <xdr:row>3</xdr:row>
          <xdr:rowOff>66675</xdr:rowOff>
        </xdr:to>
        <xdr:sp macro="" textlink="">
          <xdr:nvSpPr>
            <xdr:cNvPr id="1025" name="SetLoss0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3</xdr:row>
          <xdr:rowOff>114300</xdr:rowOff>
        </xdr:from>
        <xdr:to>
          <xdr:col>1</xdr:col>
          <xdr:colOff>1362075</xdr:colOff>
          <xdr:row>5</xdr:row>
          <xdr:rowOff>9525</xdr:rowOff>
        </xdr:to>
        <xdr:sp macro="" textlink="">
          <xdr:nvSpPr>
            <xdr:cNvPr id="1026" name="SetLoss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361950</xdr:colOff>
          <xdr:row>5</xdr:row>
          <xdr:rowOff>66675</xdr:rowOff>
        </xdr:from>
        <xdr:to>
          <xdr:col>1</xdr:col>
          <xdr:colOff>1352550</xdr:colOff>
          <xdr:row>6</xdr:row>
          <xdr:rowOff>152400</xdr:rowOff>
        </xdr:to>
        <xdr:sp macro="" textlink="">
          <xdr:nvSpPr>
            <xdr:cNvPr id="1030" name="SetLoss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1</xdr:row>
          <xdr:rowOff>342900</xdr:rowOff>
        </xdr:from>
        <xdr:to>
          <xdr:col>2</xdr:col>
          <xdr:colOff>1352550</xdr:colOff>
          <xdr:row>3</xdr:row>
          <xdr:rowOff>57150</xdr:rowOff>
        </xdr:to>
        <xdr:sp macro="" textlink="">
          <xdr:nvSpPr>
            <xdr:cNvPr id="1036" name="SetChargeState0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3</xdr:row>
          <xdr:rowOff>114300</xdr:rowOff>
        </xdr:from>
        <xdr:to>
          <xdr:col>2</xdr:col>
          <xdr:colOff>1343025</xdr:colOff>
          <xdr:row>5</xdr:row>
          <xdr:rowOff>9525</xdr:rowOff>
        </xdr:to>
        <xdr:sp macro="" textlink="">
          <xdr:nvSpPr>
            <xdr:cNvPr id="1037" name="SetChargeState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5</xdr:row>
          <xdr:rowOff>47625</xdr:rowOff>
        </xdr:from>
        <xdr:to>
          <xdr:col>2</xdr:col>
          <xdr:colOff>1343025</xdr:colOff>
          <xdr:row>6</xdr:row>
          <xdr:rowOff>133350</xdr:rowOff>
        </xdr:to>
        <xdr:sp macro="" textlink="">
          <xdr:nvSpPr>
            <xdr:cNvPr id="1038" name="SetChargeState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2</xdr:row>
          <xdr:rowOff>0</xdr:rowOff>
        </xdr:from>
        <xdr:to>
          <xdr:col>3</xdr:col>
          <xdr:colOff>1428750</xdr:colOff>
          <xdr:row>3</xdr:row>
          <xdr:rowOff>85725</xdr:rowOff>
        </xdr:to>
        <xdr:sp macro="" textlink="">
          <xdr:nvSpPr>
            <xdr:cNvPr id="1039" name="SetStrag0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3</xdr:row>
          <xdr:rowOff>152400</xdr:rowOff>
        </xdr:from>
        <xdr:to>
          <xdr:col>3</xdr:col>
          <xdr:colOff>1428750</xdr:colOff>
          <xdr:row>5</xdr:row>
          <xdr:rowOff>47625</xdr:rowOff>
        </xdr:to>
        <xdr:sp macro="" textlink="">
          <xdr:nvSpPr>
            <xdr:cNvPr id="1040" name="SetStrag1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61</xdr:row>
          <xdr:rowOff>95250</xdr:rowOff>
        </xdr:from>
        <xdr:to>
          <xdr:col>1</xdr:col>
          <xdr:colOff>638175</xdr:colOff>
          <xdr:row>63</xdr:row>
          <xdr:rowOff>9525</xdr:rowOff>
        </xdr:to>
        <xdr:sp macro="" textlink="">
          <xdr:nvSpPr>
            <xdr:cNvPr id="1042" name="InitAgai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7</xdr:row>
          <xdr:rowOff>47625</xdr:rowOff>
        </xdr:from>
        <xdr:to>
          <xdr:col>2</xdr:col>
          <xdr:colOff>1514475</xdr:colOff>
          <xdr:row>8</xdr:row>
          <xdr:rowOff>114300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3 - Global+Winger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9</xdr:row>
          <xdr:rowOff>19050</xdr:rowOff>
        </xdr:from>
        <xdr:to>
          <xdr:col>2</xdr:col>
          <xdr:colOff>1524000</xdr:colOff>
          <xdr:row>9</xdr:row>
          <xdr:rowOff>247650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4 -    Global+Leon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10</xdr:row>
          <xdr:rowOff>0</xdr:rowOff>
        </xdr:from>
        <xdr:to>
          <xdr:col>2</xdr:col>
          <xdr:colOff>1514475</xdr:colOff>
          <xdr:row>11</xdr:row>
          <xdr:rowOff>9525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5 - Schiwietz (solid)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0</xdr:row>
      <xdr:rowOff>152400</xdr:rowOff>
    </xdr:from>
    <xdr:to>
      <xdr:col>16</xdr:col>
      <xdr:colOff>485775</xdr:colOff>
      <xdr:row>30</xdr:row>
      <xdr:rowOff>114300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266700</xdr:colOff>
      <xdr:row>32</xdr:row>
      <xdr:rowOff>19050</xdr:rowOff>
    </xdr:from>
    <xdr:to>
      <xdr:col>16</xdr:col>
      <xdr:colOff>485775</xdr:colOff>
      <xdr:row>61</xdr:row>
      <xdr:rowOff>152400</xdr:rowOff>
    </xdr:to>
    <xdr:graphicFrame macro="">
      <xdr:nvGraphicFramePr>
        <xdr:cNvPr id="307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3</xdr:row>
          <xdr:rowOff>104775</xdr:rowOff>
        </xdr:from>
        <xdr:to>
          <xdr:col>0</xdr:col>
          <xdr:colOff>581025</xdr:colOff>
          <xdr:row>9</xdr:row>
          <xdr:rowOff>133350</xdr:rowOff>
        </xdr:to>
        <xdr:sp macro="" textlink="">
          <xdr:nvSpPr>
            <xdr:cNvPr id="5121" name="Picture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blipFill dpi="0" rotWithShape="0">
              <a:blip xmlns:r="http://schemas.openxmlformats.org/officeDocument/2006/relationships" r:embed="rId1"/>
              <a:srcRect/>
              <a:tile tx="0" ty="0" sx="100000" sy="100000" flip="none" algn="tl"/>
            </a:blip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180975</xdr:rowOff>
        </xdr:from>
        <xdr:to>
          <xdr:col>0</xdr:col>
          <xdr:colOff>542925</xdr:colOff>
          <xdr:row>22</xdr:row>
          <xdr:rowOff>28575</xdr:rowOff>
        </xdr:to>
        <xdr:sp macro="" textlink="">
          <xdr:nvSpPr>
            <xdr:cNvPr id="5122" name="Picture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blipFill dpi="0" rotWithShape="0">
              <a:blip xmlns:r="http://schemas.openxmlformats.org/officeDocument/2006/relationships" r:embed="rId2"/>
              <a:srcRect/>
              <a:tile tx="0" ty="0" sx="100000" sy="100000" flip="none" algn="tl"/>
            </a:blip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</xdr:row>
          <xdr:rowOff>114300</xdr:rowOff>
        </xdr:from>
        <xdr:to>
          <xdr:col>0</xdr:col>
          <xdr:colOff>552450</xdr:colOff>
          <xdr:row>40</xdr:row>
          <xdr:rowOff>142875</xdr:rowOff>
        </xdr:to>
        <xdr:sp macro="" textlink="">
          <xdr:nvSpPr>
            <xdr:cNvPr id="5123" name="Picture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52</xdr:row>
          <xdr:rowOff>28575</xdr:rowOff>
        </xdr:from>
        <xdr:to>
          <xdr:col>0</xdr:col>
          <xdr:colOff>533400</xdr:colOff>
          <xdr:row>63</xdr:row>
          <xdr:rowOff>104775</xdr:rowOff>
        </xdr:to>
        <xdr:sp macro="" textlink="">
          <xdr:nvSpPr>
            <xdr:cNvPr id="5124" name="Picture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blipFill dpi="0" rotWithShape="0">
              <a:blip xmlns:r="http://schemas.openxmlformats.org/officeDocument/2006/relationships" r:embed="rId3"/>
              <a:srcRect/>
              <a:tile tx="0" ty="0" sx="100000" sy="100000" flip="none" algn="tl"/>
            </a:blip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85731</xdr:colOff>
      <xdr:row>0</xdr:row>
      <xdr:rowOff>123830</xdr:rowOff>
    </xdr:from>
    <xdr:to>
      <xdr:col>10</xdr:col>
      <xdr:colOff>390531</xdr:colOff>
      <xdr:row>21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152400</xdr:colOff>
      <xdr:row>22</xdr:row>
      <xdr:rowOff>57150</xdr:rowOff>
    </xdr:from>
    <xdr:to>
      <xdr:col>10</xdr:col>
      <xdr:colOff>457200</xdr:colOff>
      <xdr:row>43</xdr:row>
      <xdr:rowOff>76194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4.emf"/><Relationship Id="rId18" Type="http://schemas.openxmlformats.org/officeDocument/2006/relationships/control" Target="../activeX/activeX7.xml"/><Relationship Id="rId26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21" Type="http://schemas.openxmlformats.org/officeDocument/2006/relationships/image" Target="../media/image8.emf"/><Relationship Id="rId7" Type="http://schemas.openxmlformats.org/officeDocument/2006/relationships/image" Target="../media/image1.emf"/><Relationship Id="rId12" Type="http://schemas.openxmlformats.org/officeDocument/2006/relationships/control" Target="../activeX/activeX4.xml"/><Relationship Id="rId17" Type="http://schemas.openxmlformats.org/officeDocument/2006/relationships/image" Target="../media/image6.emf"/><Relationship Id="rId25" Type="http://schemas.openxmlformats.org/officeDocument/2006/relationships/ctrlProp" Target="../ctrlProps/ctrlProp2.xml"/><Relationship Id="rId2" Type="http://schemas.openxmlformats.org/officeDocument/2006/relationships/hyperlink" Target="http://www.nscl.msu.edu/lise" TargetMode="External"/><Relationship Id="rId16" Type="http://schemas.openxmlformats.org/officeDocument/2006/relationships/control" Target="../activeX/activeX6.xml"/><Relationship Id="rId20" Type="http://schemas.openxmlformats.org/officeDocument/2006/relationships/control" Target="../activeX/activeX8.xml"/><Relationship Id="rId1" Type="http://schemas.openxmlformats.org/officeDocument/2006/relationships/hyperlink" Target="mailto:tarasov@nscl.msu.edu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23" Type="http://schemas.openxmlformats.org/officeDocument/2006/relationships/image" Target="../media/image9.emf"/><Relationship Id="rId10" Type="http://schemas.openxmlformats.org/officeDocument/2006/relationships/control" Target="../activeX/activeX3.xml"/><Relationship Id="rId19" Type="http://schemas.openxmlformats.org/officeDocument/2006/relationships/image" Target="../media/image7.emf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Relationship Id="rId22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lise.nscl.msu.edu/10_1/11_0_15_Z_PID.pdf" TargetMode="Externa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K445"/>
  <sheetViews>
    <sheetView showGridLines="0" showRowColHeaders="0" tabSelected="1" workbookViewId="0">
      <pane xSplit="7" ySplit="12" topLeftCell="H13" activePane="bottomRight" state="frozen"/>
      <selection pane="topRight" activeCell="G1" sqref="G1"/>
      <selection pane="bottomLeft" activeCell="A12" sqref="A12"/>
      <selection pane="bottomRight" activeCell="F3" sqref="F3"/>
    </sheetView>
  </sheetViews>
  <sheetFormatPr defaultRowHeight="12.75"/>
  <cols>
    <col min="1" max="1" width="1.85546875" style="63" customWidth="1"/>
    <col min="2" max="2" width="28" style="27" customWidth="1"/>
    <col min="3" max="3" width="25.42578125" style="27" customWidth="1"/>
    <col min="4" max="4" width="31.7109375" style="27" customWidth="1"/>
    <col min="5" max="5" width="15" style="27" customWidth="1"/>
    <col min="6" max="6" width="9.140625" style="27"/>
    <col min="7" max="7" width="9.5703125" style="27" customWidth="1"/>
    <col min="8" max="16384" width="9.140625" style="63"/>
  </cols>
  <sheetData>
    <row r="1" spans="2:7" ht="8.25" customHeight="1"/>
    <row r="2" spans="2:7" ht="29.25" customHeight="1" thickBot="1">
      <c r="B2" s="21" t="s">
        <v>143</v>
      </c>
      <c r="C2" s="22" t="s">
        <v>144</v>
      </c>
      <c r="D2" s="23" t="s">
        <v>158</v>
      </c>
      <c r="E2" s="442" t="s">
        <v>142</v>
      </c>
      <c r="F2" s="443"/>
      <c r="G2" s="108"/>
    </row>
    <row r="3" spans="2:7">
      <c r="B3" s="24"/>
      <c r="C3" s="25"/>
      <c r="D3" s="26"/>
      <c r="E3" s="31" t="s">
        <v>133</v>
      </c>
      <c r="F3" s="35">
        <v>92</v>
      </c>
      <c r="G3" s="171" t="str">
        <f>+Show_Element(Zparticle)</f>
        <v/>
      </c>
    </row>
    <row r="4" spans="2:7" ht="15" customHeight="1">
      <c r="B4" s="24"/>
      <c r="C4" s="25"/>
      <c r="D4" s="26"/>
      <c r="E4" s="31" t="s">
        <v>134</v>
      </c>
      <c r="F4" s="36">
        <v>238</v>
      </c>
      <c r="G4" s="28"/>
    </row>
    <row r="5" spans="2:7">
      <c r="B5" s="24"/>
      <c r="C5" s="25"/>
      <c r="D5" s="26"/>
      <c r="E5" s="31" t="s">
        <v>135</v>
      </c>
      <c r="F5" s="36">
        <v>4</v>
      </c>
      <c r="G5" s="171" t="str">
        <f>+Show_Element(Ztarget)</f>
        <v/>
      </c>
    </row>
    <row r="6" spans="2:7">
      <c r="B6" s="24"/>
      <c r="C6" s="25"/>
      <c r="D6" s="26"/>
      <c r="E6" s="31" t="s">
        <v>136</v>
      </c>
      <c r="F6" s="36">
        <v>9</v>
      </c>
      <c r="G6" s="28"/>
    </row>
    <row r="7" spans="2:7">
      <c r="B7" s="24"/>
      <c r="C7" s="25"/>
      <c r="D7" s="26"/>
      <c r="E7" s="31" t="s">
        <v>137</v>
      </c>
      <c r="F7" s="36">
        <v>50</v>
      </c>
      <c r="G7" s="29" t="s">
        <v>160</v>
      </c>
    </row>
    <row r="8" spans="2:7">
      <c r="B8" s="24"/>
      <c r="C8" s="25"/>
      <c r="D8" s="26"/>
      <c r="E8" s="31" t="s">
        <v>139</v>
      </c>
      <c r="F8" s="36">
        <v>5</v>
      </c>
      <c r="G8" s="29" t="s">
        <v>140</v>
      </c>
    </row>
    <row r="9" spans="2:7" ht="13.5" thickBot="1">
      <c r="B9" s="74"/>
      <c r="C9" s="75"/>
      <c r="D9" s="76"/>
      <c r="E9" s="32" t="s">
        <v>141</v>
      </c>
      <c r="F9" s="37">
        <v>0</v>
      </c>
      <c r="G9" s="30"/>
    </row>
    <row r="10" spans="2:7" ht="25.5" customHeight="1">
      <c r="B10" s="74"/>
      <c r="C10" s="75"/>
      <c r="D10" s="76"/>
      <c r="E10" s="123"/>
      <c r="F10" s="124"/>
      <c r="G10" s="49"/>
    </row>
    <row r="11" spans="2:7" ht="17.25" customHeight="1">
      <c r="B11" s="74"/>
      <c r="C11" s="75" t="s">
        <v>427</v>
      </c>
      <c r="D11" s="76"/>
      <c r="E11" s="123"/>
      <c r="F11" s="124"/>
      <c r="G11" s="49"/>
    </row>
    <row r="12" spans="2:7" ht="21.75" customHeight="1">
      <c r="B12" s="74" t="s">
        <v>314</v>
      </c>
      <c r="C12" s="75" t="s">
        <v>430</v>
      </c>
      <c r="D12" s="76" t="s">
        <v>157</v>
      </c>
      <c r="E12" s="451" t="s">
        <v>787</v>
      </c>
      <c r="F12" s="452"/>
      <c r="G12" s="452"/>
    </row>
    <row r="13" spans="2:7" ht="9.75" customHeight="1" thickBot="1">
      <c r="B13" s="49"/>
      <c r="C13" s="49"/>
      <c r="D13" s="49"/>
      <c r="E13" s="49"/>
      <c r="F13" s="49"/>
      <c r="G13" s="49"/>
    </row>
    <row r="14" spans="2:7" ht="18.75" thickTop="1">
      <c r="B14" s="50" t="s">
        <v>127</v>
      </c>
      <c r="C14" s="51" t="s">
        <v>128</v>
      </c>
      <c r="D14" s="51" t="s">
        <v>129</v>
      </c>
      <c r="E14" s="450" t="s">
        <v>138</v>
      </c>
      <c r="F14" s="450"/>
      <c r="G14" s="52"/>
    </row>
    <row r="15" spans="2:7" ht="38.25">
      <c r="B15" s="53" t="s">
        <v>413</v>
      </c>
      <c r="C15" s="38" t="s">
        <v>414</v>
      </c>
      <c r="D15" s="34" t="s">
        <v>266</v>
      </c>
      <c r="E15" s="173">
        <f>EnergyLossInMatter(Zparticle,Aparticle,energy,Ztarget,Thickness)</f>
        <v>48.533999999999999</v>
      </c>
      <c r="F15" s="444" t="s">
        <v>160</v>
      </c>
      <c r="G15" s="445"/>
    </row>
    <row r="16" spans="2:7" ht="38.25">
      <c r="B16" s="122" t="s">
        <v>415</v>
      </c>
      <c r="C16" s="38" t="s">
        <v>414</v>
      </c>
      <c r="D16" s="34" t="s">
        <v>267</v>
      </c>
      <c r="E16" s="64">
        <f>EnergyLossInMatter_option(Zparticle,Aparticle,energy,Ztarget,Thickness,Energy_loss_option)</f>
        <v>48.533999999999999</v>
      </c>
      <c r="F16" s="444" t="s">
        <v>160</v>
      </c>
      <c r="G16" s="445"/>
    </row>
    <row r="17" spans="2:11" ht="38.25">
      <c r="B17" s="53" t="s">
        <v>130</v>
      </c>
      <c r="C17" s="33" t="s">
        <v>131</v>
      </c>
      <c r="D17" s="34" t="s">
        <v>165</v>
      </c>
      <c r="E17" s="64">
        <f>RangeInMatter(Zparticle,Aparticle,energy,Ztarget)</f>
        <v>117.45</v>
      </c>
      <c r="F17" s="444" t="s">
        <v>140</v>
      </c>
      <c r="G17" s="445"/>
    </row>
    <row r="18" spans="2:11" ht="38.25">
      <c r="B18" s="122" t="s">
        <v>264</v>
      </c>
      <c r="C18" s="33" t="s">
        <v>131</v>
      </c>
      <c r="D18" s="34" t="s">
        <v>265</v>
      </c>
      <c r="E18" s="64">
        <f>RangeInMatter_option(Zparticle,Aparticle,energy,Ztarget,Range_option)</f>
        <v>140.30000000000001</v>
      </c>
      <c r="F18" s="444" t="s">
        <v>140</v>
      </c>
      <c r="G18" s="445"/>
    </row>
    <row r="19" spans="2:11" ht="42" customHeight="1">
      <c r="B19" s="53" t="s">
        <v>161</v>
      </c>
      <c r="C19" s="38" t="s">
        <v>159</v>
      </c>
      <c r="D19" s="291" t="s">
        <v>266</v>
      </c>
      <c r="E19" s="65">
        <f>StragglingEnergy(Zparticle,Aparticle,energy,Ztarget,Thickness)</f>
        <v>7.0000000000000001E-3</v>
      </c>
      <c r="F19" s="446" t="s">
        <v>160</v>
      </c>
      <c r="G19" s="447"/>
    </row>
    <row r="20" spans="2:11" ht="42" customHeight="1" thickBot="1">
      <c r="B20" s="54" t="s">
        <v>162</v>
      </c>
      <c r="C20" s="41" t="s">
        <v>163</v>
      </c>
      <c r="D20" s="42" t="s">
        <v>165</v>
      </c>
      <c r="E20" s="66">
        <f>StragglingRange(Zparticle,Aparticle,energy,Ztarget)</f>
        <v>8.6999999999999994E-2</v>
      </c>
      <c r="F20" s="448" t="s">
        <v>140</v>
      </c>
      <c r="G20" s="449"/>
    </row>
    <row r="21" spans="2:11" ht="42" customHeight="1" thickTop="1">
      <c r="B21" s="56" t="s">
        <v>192</v>
      </c>
      <c r="C21" s="45" t="s">
        <v>194</v>
      </c>
      <c r="D21" s="46" t="s">
        <v>165</v>
      </c>
      <c r="E21" s="78">
        <f>StoppingPower(Zparticle,Aparticle,energy,Ztarget,0)</f>
        <v>69.179140000000004</v>
      </c>
      <c r="F21" s="432" t="s">
        <v>193</v>
      </c>
      <c r="G21" s="433"/>
    </row>
    <row r="22" spans="2:11" ht="42" customHeight="1">
      <c r="B22" s="56" t="s">
        <v>192</v>
      </c>
      <c r="C22" s="45" t="s">
        <v>195</v>
      </c>
      <c r="D22" s="46" t="s">
        <v>165</v>
      </c>
      <c r="E22" s="78">
        <f>StoppingPower(Zparticle,Aparticle,energy,Ztarget,1)</f>
        <v>63.967190000000002</v>
      </c>
      <c r="F22" s="432" t="s">
        <v>193</v>
      </c>
      <c r="G22" s="433"/>
    </row>
    <row r="23" spans="2:11" ht="38.25">
      <c r="B23" s="56" t="s">
        <v>192</v>
      </c>
      <c r="C23" s="45" t="s">
        <v>196</v>
      </c>
      <c r="D23" s="46" t="s">
        <v>165</v>
      </c>
      <c r="E23" s="78">
        <f>StoppingPower(Zparticle,Aparticle,energy,Ztarget,2)</f>
        <v>56.144199999999998</v>
      </c>
      <c r="F23" s="432" t="s">
        <v>193</v>
      </c>
      <c r="G23" s="433"/>
    </row>
    <row r="24" spans="2:11" ht="39" thickBot="1">
      <c r="B24" s="56" t="s">
        <v>192</v>
      </c>
      <c r="C24" s="79" t="s">
        <v>197</v>
      </c>
      <c r="D24" s="46" t="s">
        <v>165</v>
      </c>
      <c r="E24" s="78">
        <f>StoppingPower(Zparticle,Aparticle,energy,Ztarget,3)</f>
        <v>65.135170000000002</v>
      </c>
      <c r="F24" s="432" t="s">
        <v>193</v>
      </c>
      <c r="G24" s="433"/>
      <c r="K24" s="299"/>
    </row>
    <row r="25" spans="2:11" ht="17.25" thickTop="1" thickBot="1">
      <c r="B25" s="55" t="s">
        <v>609</v>
      </c>
      <c r="C25" s="39" t="s">
        <v>610</v>
      </c>
      <c r="D25" s="298" t="s">
        <v>611</v>
      </c>
      <c r="E25" s="71">
        <f>MassIon(Zparticle,Aparticle,Zparticle-ZmQ)</f>
        <v>238.0003186500725</v>
      </c>
      <c r="F25" s="440"/>
      <c r="G25" s="441"/>
    </row>
    <row r="26" spans="2:11" ht="17.25" thickTop="1" thickBot="1">
      <c r="B26" s="55" t="s">
        <v>416</v>
      </c>
      <c r="C26" s="39" t="s">
        <v>417</v>
      </c>
      <c r="D26" s="40" t="s">
        <v>0</v>
      </c>
      <c r="E26" s="71">
        <f>MassIsotope(Zparticle,Aparticle)</f>
        <v>238.05078800000001</v>
      </c>
      <c r="F26" s="440"/>
      <c r="G26" s="441"/>
    </row>
    <row r="27" spans="2:11" ht="16.5" thickTop="1">
      <c r="B27" s="55" t="s">
        <v>34</v>
      </c>
      <c r="C27" s="39" t="s">
        <v>145</v>
      </c>
      <c r="D27" s="40" t="s">
        <v>33</v>
      </c>
      <c r="E27" s="71">
        <f>+Mass(Zparticle)</f>
        <v>-1</v>
      </c>
      <c r="F27" s="440"/>
      <c r="G27" s="441"/>
    </row>
    <row r="28" spans="2:11" ht="15.75">
      <c r="B28" s="53" t="s">
        <v>148</v>
      </c>
      <c r="C28" s="33" t="s">
        <v>147</v>
      </c>
      <c r="D28" s="34" t="s">
        <v>146</v>
      </c>
      <c r="E28" s="65">
        <f>show_Z(E29)</f>
        <v>1</v>
      </c>
      <c r="F28" s="436"/>
      <c r="G28" s="437"/>
    </row>
    <row r="29" spans="2:11" ht="15.75">
      <c r="B29" s="53" t="s">
        <v>149</v>
      </c>
      <c r="C29" s="33" t="s">
        <v>418</v>
      </c>
      <c r="D29" s="34" t="s">
        <v>419</v>
      </c>
      <c r="E29" s="65" t="str">
        <f>Show_Element(Zparticle)</f>
        <v/>
      </c>
      <c r="F29" s="436"/>
      <c r="G29" s="437"/>
    </row>
    <row r="30" spans="2:11" ht="25.5">
      <c r="B30" s="56" t="s">
        <v>152</v>
      </c>
      <c r="C30" s="45" t="s">
        <v>153</v>
      </c>
      <c r="D30" s="46" t="s">
        <v>155</v>
      </c>
      <c r="E30" s="67">
        <f>Mg2Mkm(Thickness,Ztarget)</f>
        <v>-1</v>
      </c>
      <c r="F30" s="453" t="s">
        <v>151</v>
      </c>
      <c r="G30" s="454"/>
    </row>
    <row r="31" spans="2:11" ht="26.25" thickBot="1">
      <c r="B31" s="57" t="s">
        <v>150</v>
      </c>
      <c r="C31" s="47" t="s">
        <v>154</v>
      </c>
      <c r="D31" s="48" t="s">
        <v>156</v>
      </c>
      <c r="E31" s="68">
        <f>Mkm2Mg(E30,Ztarget)</f>
        <v>-1</v>
      </c>
      <c r="F31" s="455" t="s">
        <v>140</v>
      </c>
      <c r="G31" s="456"/>
    </row>
    <row r="32" spans="2:11" ht="26.25" thickTop="1">
      <c r="B32" s="55" t="s">
        <v>169</v>
      </c>
      <c r="C32" s="43" t="s">
        <v>170</v>
      </c>
      <c r="D32" s="40" t="s">
        <v>171</v>
      </c>
      <c r="E32" s="69">
        <f>Beta2Energy(E33)</f>
        <v>50.000000000000014</v>
      </c>
      <c r="F32" s="440"/>
      <c r="G32" s="441"/>
    </row>
    <row r="33" spans="2:7" ht="25.5">
      <c r="B33" s="55" t="s">
        <v>164</v>
      </c>
      <c r="C33" s="43" t="s">
        <v>168</v>
      </c>
      <c r="D33" s="40" t="s">
        <v>167</v>
      </c>
      <c r="E33" s="70">
        <f>Energy2Beta(energy)</f>
        <v>0.31510367104347592</v>
      </c>
      <c r="F33" s="436"/>
      <c r="G33" s="437"/>
    </row>
    <row r="34" spans="2:7" ht="25.5">
      <c r="B34" s="55" t="s">
        <v>173</v>
      </c>
      <c r="C34" s="43" t="s">
        <v>175</v>
      </c>
      <c r="D34" s="40" t="s">
        <v>171</v>
      </c>
      <c r="E34" s="71">
        <f>Beta2Gamma(E33)</f>
        <v>1.0536772075028829</v>
      </c>
      <c r="F34" s="436"/>
      <c r="G34" s="437"/>
    </row>
    <row r="35" spans="2:7" ht="25.5">
      <c r="B35" s="55" t="s">
        <v>172</v>
      </c>
      <c r="C35" s="43" t="s">
        <v>174</v>
      </c>
      <c r="D35" s="40" t="s">
        <v>176</v>
      </c>
      <c r="E35" s="70">
        <f>Gamma2Beta(E34)</f>
        <v>0.31510367104347592</v>
      </c>
      <c r="F35" s="436"/>
      <c r="G35" s="437"/>
    </row>
    <row r="36" spans="2:7" ht="25.5">
      <c r="B36" s="55" t="s">
        <v>180</v>
      </c>
      <c r="C36" s="43" t="s">
        <v>177</v>
      </c>
      <c r="D36" s="40" t="s">
        <v>176</v>
      </c>
      <c r="E36" s="69">
        <f>Gamma2Energy(E37)</f>
        <v>50.000000000000014</v>
      </c>
      <c r="F36" s="436"/>
      <c r="G36" s="437"/>
    </row>
    <row r="37" spans="2:7" ht="25.5">
      <c r="B37" s="55" t="s">
        <v>178</v>
      </c>
      <c r="C37" s="43" t="s">
        <v>179</v>
      </c>
      <c r="D37" s="40" t="s">
        <v>167</v>
      </c>
      <c r="E37" s="70">
        <f>Energy2Gamma(energy)</f>
        <v>1.0536772075028829</v>
      </c>
      <c r="F37" s="436"/>
      <c r="G37" s="437"/>
    </row>
    <row r="38" spans="2:7" ht="38.25">
      <c r="B38" s="55" t="s">
        <v>182</v>
      </c>
      <c r="C38" s="43" t="s">
        <v>183</v>
      </c>
      <c r="D38" s="298" t="s">
        <v>612</v>
      </c>
      <c r="E38" s="69">
        <f>Brho2Energy(E39,IonMass,Zparticle)</f>
        <v>50.000000000000014</v>
      </c>
      <c r="F38" s="111"/>
      <c r="G38" s="112"/>
    </row>
    <row r="39" spans="2:7" ht="39" thickBot="1">
      <c r="B39" s="58" t="s">
        <v>181</v>
      </c>
      <c r="C39" s="44" t="s">
        <v>184</v>
      </c>
      <c r="D39" s="300" t="s">
        <v>613</v>
      </c>
      <c r="E39" s="72">
        <f>Energy2Brho(energy,IonMass,Zparticle)</f>
        <v>2.6687637195697689</v>
      </c>
      <c r="F39" s="113"/>
      <c r="G39" s="114"/>
    </row>
    <row r="40" spans="2:7" ht="39" thickTop="1">
      <c r="B40" s="117" t="s">
        <v>251</v>
      </c>
      <c r="C40" s="118" t="s">
        <v>253</v>
      </c>
      <c r="D40" s="301" t="s">
        <v>614</v>
      </c>
      <c r="E40" s="120">
        <f>Energy2Momentum(energy,IonMass)</f>
        <v>73606.92540104255</v>
      </c>
      <c r="F40" s="109"/>
      <c r="G40" s="110"/>
    </row>
    <row r="41" spans="2:7" ht="39" thickBot="1">
      <c r="B41" s="55" t="s">
        <v>250</v>
      </c>
      <c r="C41" s="43" t="s">
        <v>252</v>
      </c>
      <c r="D41" s="298" t="s">
        <v>615</v>
      </c>
      <c r="E41" s="69">
        <f>Momentum2Energy(E40,IonMass)</f>
        <v>49.999999999999986</v>
      </c>
      <c r="F41" s="115"/>
      <c r="G41" s="116"/>
    </row>
    <row r="42" spans="2:7" ht="39" thickTop="1">
      <c r="B42" s="117" t="s">
        <v>256</v>
      </c>
      <c r="C42" s="118" t="s">
        <v>258</v>
      </c>
      <c r="D42" s="119" t="s">
        <v>255</v>
      </c>
      <c r="E42" s="120">
        <f>Brho2Momentum(E39,Zparticle)</f>
        <v>73606.925401042565</v>
      </c>
      <c r="F42" s="109"/>
      <c r="G42" s="110"/>
    </row>
    <row r="43" spans="2:7" ht="39" thickBot="1">
      <c r="B43" s="55" t="s">
        <v>257</v>
      </c>
      <c r="C43" s="43" t="s">
        <v>259</v>
      </c>
      <c r="D43" s="40" t="s">
        <v>254</v>
      </c>
      <c r="E43" s="71">
        <f>Momentum2Brho(E42,Zparticle)</f>
        <v>2.6687637195697689</v>
      </c>
      <c r="F43" s="115"/>
      <c r="G43" s="116"/>
    </row>
    <row r="44" spans="2:7" ht="39.75" thickTop="1" thickBot="1">
      <c r="B44" s="59" t="s">
        <v>596</v>
      </c>
      <c r="C44" s="60" t="s">
        <v>186</v>
      </c>
      <c r="D44" s="61" t="s">
        <v>185</v>
      </c>
      <c r="E44" s="73">
        <f>EPAX215(Aparticle,Zparticle,Atarget,Ztarget,Afragment,Zfragment)</f>
        <v>2.0616974474121541E-3</v>
      </c>
      <c r="F44" s="438" t="s">
        <v>187</v>
      </c>
      <c r="G44" s="439"/>
    </row>
    <row r="45" spans="2:7" ht="39.75" thickTop="1" thickBot="1">
      <c r="B45" s="59" t="s">
        <v>597</v>
      </c>
      <c r="C45" s="292" t="s">
        <v>598</v>
      </c>
      <c r="D45" s="61" t="s">
        <v>185</v>
      </c>
      <c r="E45" s="73">
        <f>EPAX301(Aparticle,Zparticle,Atarget,Ztarget,Afragment,Zfragment)</f>
        <v>5.3008352434034469E-5</v>
      </c>
      <c r="F45" s="438" t="s">
        <v>187</v>
      </c>
      <c r="G45" s="439"/>
    </row>
    <row r="46" spans="2:7" ht="39.75" thickTop="1" thickBot="1">
      <c r="B46" s="59" t="s">
        <v>790</v>
      </c>
      <c r="C46" s="292" t="s">
        <v>791</v>
      </c>
      <c r="D46" s="403" t="s">
        <v>792</v>
      </c>
      <c r="E46" s="73">
        <f>FRACS(Aparticle,Zparticle,Atarget,Ztarget,Afragment,Zfragment,energy)</f>
        <v>2.0428196524693653E-4</v>
      </c>
      <c r="F46" s="438" t="s">
        <v>187</v>
      </c>
      <c r="G46" s="439"/>
    </row>
    <row r="47" spans="2:7" ht="39.75" thickTop="1" thickBot="1">
      <c r="B47" s="80" t="s">
        <v>420</v>
      </c>
      <c r="C47" s="81" t="s">
        <v>421</v>
      </c>
      <c r="D47" s="82" t="s">
        <v>166</v>
      </c>
      <c r="E47" s="125">
        <f>ChargeState(energy,Zparticle,Ztarget,ZmQ)</f>
        <v>0</v>
      </c>
      <c r="F47" s="434" t="s">
        <v>132</v>
      </c>
      <c r="G47" s="435"/>
    </row>
    <row r="48" spans="2:7" ht="39.75" thickTop="1" thickBot="1">
      <c r="B48" s="121" t="s">
        <v>429</v>
      </c>
      <c r="C48" s="81" t="s">
        <v>421</v>
      </c>
      <c r="D48" s="82" t="s">
        <v>166</v>
      </c>
      <c r="E48" s="125">
        <f>SchiwietzGas(energy,Zparticle,Ztarget,ZmQ)</f>
        <v>0.44768999999999998</v>
      </c>
      <c r="F48" s="434" t="s">
        <v>132</v>
      </c>
      <c r="G48" s="435"/>
    </row>
    <row r="49" spans="2:7" ht="39.75" thickTop="1" thickBot="1">
      <c r="B49" s="121" t="s">
        <v>422</v>
      </c>
      <c r="C49" s="81" t="s">
        <v>421</v>
      </c>
      <c r="D49" s="82" t="s">
        <v>260</v>
      </c>
      <c r="E49" s="125">
        <f>ChargeState_option(energy,Zparticle,Ztarget,ZmQ,Opt)</f>
        <v>1.09E-3</v>
      </c>
      <c r="F49" s="434" t="s">
        <v>132</v>
      </c>
      <c r="G49" s="435"/>
    </row>
    <row r="50" spans="2:7" ht="39.75" thickTop="1" thickBot="1">
      <c r="B50" s="121" t="s">
        <v>423</v>
      </c>
      <c r="C50" s="174" t="s">
        <v>424</v>
      </c>
      <c r="D50" s="82" t="s">
        <v>304</v>
      </c>
      <c r="E50" s="125">
        <f>Charge_Qmean(energy,Zparticle,Ztarget,Opt)</f>
        <v>89.227000000000004</v>
      </c>
      <c r="F50" s="434"/>
      <c r="G50" s="435"/>
    </row>
    <row r="51" spans="2:7" ht="39.75" thickTop="1" thickBot="1">
      <c r="B51" s="121" t="s">
        <v>425</v>
      </c>
      <c r="C51" s="174" t="s">
        <v>426</v>
      </c>
      <c r="D51" s="82" t="s">
        <v>304</v>
      </c>
      <c r="E51" s="125">
        <f>Charge_dQ(energy,Zparticle,Ztarget,Opt)</f>
        <v>0.82799999999999996</v>
      </c>
      <c r="F51" s="434"/>
      <c r="G51" s="435"/>
    </row>
    <row r="52" spans="2:7" ht="13.5" thickTop="1">
      <c r="B52" s="63"/>
      <c r="D52" s="63"/>
      <c r="E52" s="63"/>
      <c r="F52" s="63"/>
      <c r="G52" s="63"/>
    </row>
    <row r="53" spans="2:7" ht="13.5" thickBot="1">
      <c r="B53" s="172" t="s">
        <v>830</v>
      </c>
      <c r="D53" s="63"/>
      <c r="E53" s="63"/>
      <c r="F53" s="63"/>
      <c r="G53" s="63"/>
    </row>
    <row r="54" spans="2:7">
      <c r="B54" s="294" t="s">
        <v>247</v>
      </c>
      <c r="D54" s="77" t="s">
        <v>190</v>
      </c>
      <c r="E54" s="35">
        <v>82</v>
      </c>
      <c r="F54" s="63"/>
      <c r="G54" s="63"/>
    </row>
    <row r="55" spans="2:7">
      <c r="B55" s="297" t="s">
        <v>248</v>
      </c>
      <c r="D55" s="32" t="s">
        <v>191</v>
      </c>
      <c r="E55" s="36">
        <v>214</v>
      </c>
      <c r="F55" s="63"/>
      <c r="G55" s="63"/>
    </row>
    <row r="56" spans="2:7">
      <c r="B56" s="296"/>
      <c r="C56" s="63"/>
      <c r="D56" s="32" t="s">
        <v>261</v>
      </c>
      <c r="E56" s="36">
        <v>3</v>
      </c>
      <c r="F56" s="63"/>
      <c r="G56" s="63"/>
    </row>
    <row r="57" spans="2:7">
      <c r="B57" s="294" t="s">
        <v>249</v>
      </c>
      <c r="C57" s="63"/>
      <c r="D57" s="32" t="s">
        <v>262</v>
      </c>
      <c r="E57" s="36">
        <v>1</v>
      </c>
      <c r="F57" s="63"/>
      <c r="G57" s="63"/>
    </row>
    <row r="58" spans="2:7" ht="13.5" thickBot="1">
      <c r="B58" s="295" t="s">
        <v>599</v>
      </c>
      <c r="C58" s="63"/>
      <c r="D58" s="32" t="s">
        <v>263</v>
      </c>
      <c r="E58" s="37">
        <v>0</v>
      </c>
      <c r="F58" s="63"/>
      <c r="G58" s="63"/>
    </row>
    <row r="59" spans="2:7">
      <c r="B59" s="63"/>
      <c r="C59" s="63"/>
      <c r="D59" s="63"/>
      <c r="E59" s="62" t="s">
        <v>188</v>
      </c>
      <c r="F59" s="63"/>
      <c r="G59" s="63"/>
    </row>
    <row r="60" spans="2:7">
      <c r="B60" s="63"/>
      <c r="C60" s="63"/>
      <c r="D60" s="63"/>
      <c r="E60" s="49" t="s">
        <v>189</v>
      </c>
      <c r="F60" s="63"/>
      <c r="G60" s="63"/>
    </row>
    <row r="61" spans="2:7">
      <c r="B61" s="63" t="s">
        <v>294</v>
      </c>
      <c r="C61" s="63"/>
      <c r="D61" s="63"/>
      <c r="E61" s="63"/>
      <c r="F61" s="63"/>
      <c r="G61" s="63"/>
    </row>
    <row r="62" spans="2:7">
      <c r="C62" s="63"/>
      <c r="D62" s="63"/>
      <c r="E62" s="63"/>
      <c r="F62" s="63"/>
      <c r="G62" s="63"/>
    </row>
    <row r="63" spans="2:7">
      <c r="B63" s="290" t="s">
        <v>595</v>
      </c>
      <c r="C63" s="63"/>
      <c r="D63" s="63"/>
      <c r="E63" s="63"/>
      <c r="F63" s="63"/>
      <c r="G63" s="63"/>
    </row>
    <row r="64" spans="2:7">
      <c r="B64" s="63"/>
      <c r="C64" s="63"/>
      <c r="D64" s="63"/>
      <c r="E64" s="63"/>
      <c r="F64" s="63"/>
      <c r="G64" s="63"/>
    </row>
    <row r="65" spans="2:7">
      <c r="B65" s="63"/>
      <c r="C65" s="63"/>
      <c r="D65" s="63"/>
      <c r="E65" s="63"/>
      <c r="F65" s="63"/>
      <c r="G65" s="63"/>
    </row>
    <row r="66" spans="2:7">
      <c r="B66" s="63"/>
      <c r="C66" s="63"/>
      <c r="D66" s="63"/>
      <c r="E66" s="63"/>
      <c r="F66" s="63"/>
      <c r="G66" s="63"/>
    </row>
    <row r="67" spans="2:7">
      <c r="B67" s="63"/>
      <c r="C67" s="63"/>
      <c r="D67" s="63"/>
      <c r="E67" s="63"/>
      <c r="F67" s="63"/>
      <c r="G67" s="63"/>
    </row>
    <row r="68" spans="2:7">
      <c r="B68" s="63"/>
      <c r="C68" s="63"/>
      <c r="D68" s="63"/>
      <c r="E68" s="63"/>
      <c r="F68" s="63"/>
      <c r="G68" s="63"/>
    </row>
    <row r="69" spans="2:7">
      <c r="B69" s="63"/>
      <c r="C69" s="63"/>
      <c r="D69" s="63"/>
      <c r="E69" s="63"/>
      <c r="F69" s="63"/>
      <c r="G69" s="63"/>
    </row>
    <row r="70" spans="2:7">
      <c r="B70" s="63"/>
      <c r="C70" s="63"/>
      <c r="D70" s="63"/>
      <c r="E70" s="63"/>
      <c r="F70" s="63"/>
      <c r="G70" s="63"/>
    </row>
    <row r="71" spans="2:7">
      <c r="B71" s="63"/>
      <c r="C71" s="63"/>
      <c r="D71" s="63"/>
      <c r="E71" s="63"/>
      <c r="F71" s="63"/>
      <c r="G71" s="63"/>
    </row>
    <row r="72" spans="2:7">
      <c r="B72" s="63"/>
      <c r="C72" s="63"/>
      <c r="D72" s="63"/>
      <c r="E72" s="63"/>
      <c r="F72" s="63"/>
      <c r="G72" s="63"/>
    </row>
    <row r="73" spans="2:7">
      <c r="B73" s="63"/>
      <c r="C73" s="63"/>
      <c r="D73" s="63"/>
      <c r="E73" s="63"/>
      <c r="F73" s="63"/>
      <c r="G73" s="63"/>
    </row>
    <row r="74" spans="2:7">
      <c r="B74" s="63"/>
      <c r="C74" s="63"/>
      <c r="D74" s="63"/>
      <c r="E74" s="63"/>
      <c r="F74" s="63"/>
      <c r="G74" s="63"/>
    </row>
    <row r="75" spans="2:7">
      <c r="B75" s="63"/>
      <c r="C75" s="63"/>
      <c r="D75" s="63"/>
      <c r="E75" s="63"/>
      <c r="F75" s="63"/>
      <c r="G75" s="63"/>
    </row>
    <row r="76" spans="2:7">
      <c r="B76" s="63"/>
      <c r="C76" s="63"/>
      <c r="D76" s="63"/>
      <c r="E76" s="63"/>
      <c r="F76" s="63"/>
      <c r="G76" s="63"/>
    </row>
    <row r="77" spans="2:7">
      <c r="B77" s="63"/>
      <c r="C77" s="63"/>
      <c r="D77" s="63"/>
      <c r="E77" s="63"/>
      <c r="F77" s="63"/>
      <c r="G77" s="63"/>
    </row>
    <row r="78" spans="2:7">
      <c r="B78" s="63"/>
      <c r="C78" s="63"/>
      <c r="D78" s="63"/>
      <c r="E78" s="63"/>
      <c r="F78" s="63"/>
      <c r="G78" s="63"/>
    </row>
    <row r="79" spans="2:7">
      <c r="B79" s="63"/>
      <c r="C79" s="63"/>
      <c r="D79" s="63"/>
      <c r="E79" s="63"/>
      <c r="F79" s="63"/>
      <c r="G79" s="63"/>
    </row>
    <row r="80" spans="2:7">
      <c r="B80" s="63"/>
      <c r="C80" s="63"/>
      <c r="D80" s="63"/>
      <c r="E80" s="63"/>
      <c r="F80" s="63"/>
      <c r="G80" s="63"/>
    </row>
    <row r="81" spans="2:7">
      <c r="B81" s="63"/>
      <c r="C81" s="63"/>
      <c r="D81" s="63"/>
      <c r="E81" s="63"/>
      <c r="F81" s="63"/>
      <c r="G81" s="63"/>
    </row>
    <row r="82" spans="2:7">
      <c r="B82" s="63"/>
      <c r="C82" s="63"/>
      <c r="D82" s="63"/>
      <c r="E82" s="63"/>
      <c r="F82" s="63"/>
      <c r="G82" s="63"/>
    </row>
    <row r="83" spans="2:7">
      <c r="B83" s="63"/>
      <c r="C83" s="63"/>
      <c r="D83" s="63"/>
      <c r="E83" s="63"/>
      <c r="F83" s="63"/>
      <c r="G83" s="63"/>
    </row>
    <row r="84" spans="2:7">
      <c r="B84" s="63"/>
      <c r="C84" s="63"/>
      <c r="D84" s="63"/>
      <c r="E84" s="63"/>
      <c r="F84" s="63"/>
      <c r="G84" s="63"/>
    </row>
    <row r="85" spans="2:7">
      <c r="B85" s="63"/>
      <c r="C85" s="63"/>
      <c r="D85" s="63"/>
      <c r="E85" s="63"/>
      <c r="F85" s="63"/>
      <c r="G85" s="63"/>
    </row>
    <row r="86" spans="2:7">
      <c r="B86" s="63"/>
      <c r="C86" s="63"/>
      <c r="D86" s="63"/>
      <c r="E86" s="63"/>
      <c r="F86" s="63"/>
      <c r="G86" s="63"/>
    </row>
    <row r="87" spans="2:7">
      <c r="B87" s="63"/>
      <c r="C87" s="63"/>
      <c r="D87" s="63"/>
      <c r="E87" s="63"/>
      <c r="F87" s="63"/>
      <c r="G87" s="63"/>
    </row>
    <row r="88" spans="2:7">
      <c r="B88" s="63"/>
      <c r="C88" s="63"/>
      <c r="D88" s="63"/>
      <c r="E88" s="63"/>
      <c r="F88" s="63"/>
      <c r="G88" s="63"/>
    </row>
    <row r="89" spans="2:7">
      <c r="B89" s="63"/>
      <c r="C89" s="63"/>
      <c r="D89" s="63"/>
      <c r="E89" s="63"/>
      <c r="F89" s="63"/>
      <c r="G89" s="63"/>
    </row>
    <row r="90" spans="2:7">
      <c r="B90" s="63"/>
      <c r="C90" s="63"/>
      <c r="D90" s="63"/>
      <c r="E90" s="63"/>
      <c r="F90" s="63"/>
      <c r="G90" s="63"/>
    </row>
    <row r="91" spans="2:7">
      <c r="B91" s="63"/>
      <c r="C91" s="63"/>
      <c r="D91" s="63"/>
      <c r="E91" s="63"/>
      <c r="F91" s="63"/>
      <c r="G91" s="63"/>
    </row>
    <row r="92" spans="2:7">
      <c r="B92" s="63"/>
      <c r="C92" s="63"/>
      <c r="D92" s="63"/>
      <c r="E92" s="63"/>
      <c r="F92" s="63"/>
      <c r="G92" s="63"/>
    </row>
    <row r="93" spans="2:7">
      <c r="B93" s="63"/>
      <c r="C93" s="63"/>
      <c r="D93" s="63"/>
      <c r="E93" s="63"/>
      <c r="F93" s="63"/>
      <c r="G93" s="63"/>
    </row>
    <row r="94" spans="2:7">
      <c r="B94" s="63"/>
      <c r="C94" s="63"/>
      <c r="D94" s="63"/>
      <c r="E94" s="63"/>
      <c r="F94" s="63"/>
      <c r="G94" s="63"/>
    </row>
    <row r="95" spans="2:7">
      <c r="B95" s="63"/>
      <c r="C95" s="63"/>
      <c r="D95" s="63"/>
      <c r="E95" s="63"/>
      <c r="F95" s="63"/>
      <c r="G95" s="63"/>
    </row>
    <row r="96" spans="2:7">
      <c r="B96" s="63"/>
      <c r="C96" s="63"/>
      <c r="D96" s="63"/>
      <c r="E96" s="63"/>
      <c r="F96" s="63"/>
      <c r="G96" s="63"/>
    </row>
    <row r="97" spans="2:7">
      <c r="B97" s="63"/>
      <c r="C97" s="63"/>
      <c r="D97" s="63"/>
      <c r="E97" s="63"/>
      <c r="F97" s="63"/>
      <c r="G97" s="63"/>
    </row>
    <row r="98" spans="2:7">
      <c r="B98" s="63"/>
      <c r="C98" s="63"/>
      <c r="D98" s="63"/>
      <c r="E98" s="63"/>
      <c r="F98" s="63"/>
      <c r="G98" s="63"/>
    </row>
    <row r="99" spans="2:7">
      <c r="B99" s="63"/>
      <c r="C99" s="63"/>
      <c r="D99" s="63"/>
      <c r="E99" s="63"/>
      <c r="F99" s="63"/>
      <c r="G99" s="63"/>
    </row>
    <row r="100" spans="2:7">
      <c r="B100" s="63"/>
      <c r="C100" s="63"/>
      <c r="D100" s="63"/>
      <c r="E100" s="63"/>
      <c r="F100" s="63"/>
      <c r="G100" s="63"/>
    </row>
    <row r="101" spans="2:7">
      <c r="B101" s="63"/>
      <c r="C101" s="63"/>
      <c r="D101" s="63"/>
      <c r="E101" s="63"/>
      <c r="F101" s="63"/>
      <c r="G101" s="63"/>
    </row>
    <row r="102" spans="2:7">
      <c r="B102" s="63"/>
      <c r="C102" s="63"/>
      <c r="D102" s="63"/>
      <c r="E102" s="63"/>
      <c r="F102" s="63"/>
      <c r="G102" s="63"/>
    </row>
    <row r="103" spans="2:7">
      <c r="B103" s="63"/>
      <c r="C103" s="63"/>
      <c r="D103" s="63"/>
      <c r="E103" s="63"/>
      <c r="F103" s="63"/>
      <c r="G103" s="63"/>
    </row>
    <row r="104" spans="2:7">
      <c r="B104" s="63"/>
      <c r="C104" s="63"/>
      <c r="D104" s="63"/>
      <c r="E104" s="63"/>
      <c r="F104" s="63"/>
      <c r="G104" s="63"/>
    </row>
    <row r="105" spans="2:7">
      <c r="B105" s="63"/>
      <c r="C105" s="63"/>
      <c r="D105" s="63"/>
      <c r="E105" s="63"/>
      <c r="F105" s="63"/>
      <c r="G105" s="63"/>
    </row>
    <row r="106" spans="2:7">
      <c r="B106" s="63"/>
      <c r="C106" s="63"/>
      <c r="D106" s="63"/>
      <c r="E106" s="63"/>
      <c r="F106" s="63"/>
      <c r="G106" s="63"/>
    </row>
    <row r="107" spans="2:7">
      <c r="B107" s="63"/>
      <c r="C107" s="63"/>
      <c r="D107" s="63"/>
      <c r="E107" s="63"/>
      <c r="F107" s="63"/>
      <c r="G107" s="63"/>
    </row>
    <row r="108" spans="2:7">
      <c r="B108" s="63"/>
      <c r="C108" s="63"/>
      <c r="D108" s="63"/>
      <c r="E108" s="63"/>
      <c r="F108" s="63"/>
      <c r="G108" s="63"/>
    </row>
    <row r="109" spans="2:7">
      <c r="B109" s="63"/>
      <c r="C109" s="63"/>
      <c r="D109" s="63"/>
      <c r="E109" s="63"/>
      <c r="F109" s="63"/>
      <c r="G109" s="63"/>
    </row>
    <row r="110" spans="2:7">
      <c r="B110" s="63"/>
      <c r="C110" s="63"/>
      <c r="D110" s="63"/>
      <c r="E110" s="63"/>
      <c r="F110" s="63"/>
      <c r="G110" s="63"/>
    </row>
    <row r="111" spans="2:7">
      <c r="B111" s="63"/>
      <c r="C111" s="63"/>
      <c r="D111" s="63"/>
      <c r="E111" s="63"/>
      <c r="F111" s="63"/>
      <c r="G111" s="63"/>
    </row>
    <row r="112" spans="2:7">
      <c r="B112" s="63"/>
      <c r="C112" s="63"/>
      <c r="D112" s="63"/>
      <c r="E112" s="63"/>
      <c r="F112" s="63"/>
      <c r="G112" s="63"/>
    </row>
    <row r="113" spans="2:7">
      <c r="B113" s="63"/>
      <c r="C113" s="63"/>
      <c r="D113" s="63"/>
      <c r="E113" s="63"/>
      <c r="F113" s="63"/>
      <c r="G113" s="63"/>
    </row>
    <row r="114" spans="2:7">
      <c r="B114" s="63"/>
      <c r="C114" s="63"/>
      <c r="D114" s="63"/>
      <c r="E114" s="63"/>
      <c r="F114" s="63"/>
      <c r="G114" s="63"/>
    </row>
    <row r="115" spans="2:7">
      <c r="B115" s="63"/>
      <c r="C115" s="63"/>
      <c r="D115" s="63"/>
      <c r="E115" s="63"/>
      <c r="F115" s="63"/>
      <c r="G115" s="63"/>
    </row>
    <row r="116" spans="2:7">
      <c r="B116" s="63"/>
      <c r="C116" s="63"/>
      <c r="D116" s="63"/>
      <c r="E116" s="63"/>
      <c r="F116" s="63"/>
      <c r="G116" s="63"/>
    </row>
    <row r="117" spans="2:7">
      <c r="B117" s="63"/>
      <c r="C117" s="63"/>
      <c r="D117" s="63"/>
      <c r="E117" s="63"/>
      <c r="F117" s="63"/>
      <c r="G117" s="63"/>
    </row>
    <row r="118" spans="2:7">
      <c r="B118" s="63"/>
      <c r="C118" s="63"/>
      <c r="D118" s="63"/>
      <c r="E118" s="63"/>
      <c r="F118" s="63"/>
      <c r="G118" s="63"/>
    </row>
    <row r="119" spans="2:7">
      <c r="B119" s="63"/>
      <c r="C119" s="63"/>
      <c r="D119" s="63"/>
      <c r="E119" s="63"/>
      <c r="F119" s="63"/>
      <c r="G119" s="63"/>
    </row>
    <row r="120" spans="2:7">
      <c r="B120" s="63"/>
      <c r="C120" s="63"/>
      <c r="D120" s="63"/>
      <c r="E120" s="63"/>
      <c r="F120" s="63"/>
      <c r="G120" s="63"/>
    </row>
    <row r="121" spans="2:7">
      <c r="B121" s="63"/>
      <c r="C121" s="63"/>
      <c r="D121" s="63"/>
      <c r="E121" s="63"/>
      <c r="F121" s="63"/>
      <c r="G121" s="63"/>
    </row>
    <row r="122" spans="2:7">
      <c r="B122" s="63"/>
      <c r="C122" s="63"/>
      <c r="D122" s="63"/>
      <c r="E122" s="63"/>
      <c r="F122" s="63"/>
      <c r="G122" s="63"/>
    </row>
    <row r="123" spans="2:7">
      <c r="B123" s="63"/>
      <c r="C123" s="63"/>
      <c r="D123" s="63"/>
      <c r="E123" s="63"/>
      <c r="F123" s="63"/>
      <c r="G123" s="63"/>
    </row>
    <row r="124" spans="2:7">
      <c r="B124" s="63"/>
      <c r="C124" s="63"/>
      <c r="D124" s="63"/>
      <c r="E124" s="63"/>
      <c r="F124" s="63"/>
      <c r="G124" s="63"/>
    </row>
    <row r="125" spans="2:7">
      <c r="B125" s="63"/>
      <c r="C125" s="63"/>
      <c r="D125" s="63"/>
      <c r="E125" s="63"/>
      <c r="F125" s="63"/>
      <c r="G125" s="63"/>
    </row>
    <row r="126" spans="2:7">
      <c r="B126" s="63"/>
      <c r="C126" s="63"/>
      <c r="D126" s="63"/>
      <c r="E126" s="63"/>
      <c r="F126" s="63"/>
      <c r="G126" s="63"/>
    </row>
    <row r="127" spans="2:7">
      <c r="B127" s="63"/>
      <c r="C127" s="63"/>
      <c r="D127" s="63"/>
      <c r="E127" s="63"/>
      <c r="F127" s="63"/>
      <c r="G127" s="63"/>
    </row>
    <row r="128" spans="2:7">
      <c r="B128" s="63"/>
      <c r="C128" s="63"/>
      <c r="D128" s="63"/>
      <c r="E128" s="63"/>
      <c r="F128" s="63"/>
      <c r="G128" s="63"/>
    </row>
    <row r="129" spans="2:7">
      <c r="B129" s="63"/>
      <c r="C129" s="63"/>
      <c r="D129" s="63"/>
      <c r="E129" s="63"/>
      <c r="F129" s="63"/>
      <c r="G129" s="63"/>
    </row>
    <row r="130" spans="2:7">
      <c r="B130" s="63"/>
      <c r="C130" s="63"/>
      <c r="D130" s="63"/>
      <c r="E130" s="63"/>
      <c r="F130" s="63"/>
      <c r="G130" s="63"/>
    </row>
    <row r="131" spans="2:7">
      <c r="B131" s="63"/>
      <c r="C131" s="63"/>
      <c r="D131" s="63"/>
      <c r="E131" s="63"/>
      <c r="F131" s="63"/>
      <c r="G131" s="63"/>
    </row>
    <row r="132" spans="2:7">
      <c r="B132" s="63"/>
      <c r="C132" s="63"/>
      <c r="D132" s="63"/>
      <c r="E132" s="63"/>
      <c r="F132" s="63"/>
      <c r="G132" s="63"/>
    </row>
    <row r="133" spans="2:7">
      <c r="B133" s="63"/>
      <c r="C133" s="63"/>
      <c r="D133" s="63"/>
      <c r="E133" s="63"/>
      <c r="F133" s="63"/>
      <c r="G133" s="63"/>
    </row>
    <row r="134" spans="2:7">
      <c r="B134" s="63"/>
      <c r="C134" s="63"/>
      <c r="D134" s="63"/>
      <c r="E134" s="63"/>
      <c r="F134" s="63"/>
      <c r="G134" s="63"/>
    </row>
    <row r="135" spans="2:7">
      <c r="B135" s="63"/>
      <c r="C135" s="63"/>
      <c r="D135" s="63"/>
      <c r="E135" s="63"/>
      <c r="F135" s="63"/>
      <c r="G135" s="63"/>
    </row>
    <row r="136" spans="2:7">
      <c r="B136" s="63"/>
      <c r="C136" s="63"/>
      <c r="D136" s="63"/>
      <c r="E136" s="63"/>
      <c r="F136" s="63"/>
      <c r="G136" s="63"/>
    </row>
    <row r="137" spans="2:7">
      <c r="B137" s="63"/>
      <c r="C137" s="63"/>
      <c r="D137" s="63"/>
      <c r="E137" s="63"/>
      <c r="F137" s="63"/>
      <c r="G137" s="63"/>
    </row>
    <row r="138" spans="2:7">
      <c r="B138" s="63"/>
      <c r="C138" s="63"/>
      <c r="D138" s="63"/>
      <c r="E138" s="63"/>
      <c r="F138" s="63"/>
      <c r="G138" s="63"/>
    </row>
    <row r="139" spans="2:7">
      <c r="B139" s="63"/>
      <c r="C139" s="63"/>
      <c r="D139" s="63"/>
      <c r="E139" s="63"/>
      <c r="F139" s="63"/>
      <c r="G139" s="63"/>
    </row>
    <row r="140" spans="2:7">
      <c r="B140" s="63"/>
      <c r="C140" s="63"/>
      <c r="D140" s="63"/>
      <c r="E140" s="63"/>
      <c r="F140" s="63"/>
      <c r="G140" s="63"/>
    </row>
    <row r="141" spans="2:7">
      <c r="B141" s="63"/>
      <c r="C141" s="63"/>
      <c r="D141" s="63"/>
      <c r="E141" s="63"/>
      <c r="F141" s="63"/>
      <c r="G141" s="63"/>
    </row>
    <row r="142" spans="2:7">
      <c r="B142" s="63"/>
      <c r="C142" s="63"/>
      <c r="D142" s="63"/>
      <c r="E142" s="63"/>
      <c r="F142" s="63"/>
      <c r="G142" s="63"/>
    </row>
    <row r="143" spans="2:7">
      <c r="B143" s="63"/>
      <c r="C143" s="63"/>
      <c r="D143" s="63"/>
      <c r="E143" s="63"/>
      <c r="F143" s="63"/>
      <c r="G143" s="63"/>
    </row>
    <row r="144" spans="2:7">
      <c r="B144" s="63"/>
      <c r="C144" s="63"/>
      <c r="D144" s="63"/>
      <c r="E144" s="63"/>
      <c r="F144" s="63"/>
      <c r="G144" s="63"/>
    </row>
    <row r="145" spans="2:7">
      <c r="B145" s="63"/>
      <c r="C145" s="63"/>
      <c r="D145" s="63"/>
      <c r="E145" s="63"/>
      <c r="F145" s="63"/>
      <c r="G145" s="63"/>
    </row>
    <row r="146" spans="2:7">
      <c r="B146" s="63"/>
      <c r="C146" s="63"/>
      <c r="D146" s="63"/>
      <c r="E146" s="63"/>
      <c r="F146" s="63"/>
      <c r="G146" s="63"/>
    </row>
    <row r="147" spans="2:7">
      <c r="B147" s="63"/>
      <c r="C147" s="63"/>
      <c r="D147" s="63"/>
      <c r="E147" s="63"/>
      <c r="F147" s="63"/>
      <c r="G147" s="63"/>
    </row>
    <row r="148" spans="2:7">
      <c r="B148" s="63"/>
      <c r="C148" s="63"/>
      <c r="D148" s="63"/>
      <c r="E148" s="63"/>
      <c r="F148" s="63"/>
      <c r="G148" s="63"/>
    </row>
    <row r="149" spans="2:7">
      <c r="B149" s="63"/>
      <c r="C149" s="63"/>
      <c r="D149" s="63"/>
      <c r="E149" s="63"/>
      <c r="F149" s="63"/>
      <c r="G149" s="63"/>
    </row>
    <row r="150" spans="2:7">
      <c r="B150" s="63"/>
      <c r="C150" s="63"/>
      <c r="D150" s="63"/>
      <c r="E150" s="63"/>
      <c r="F150" s="63"/>
      <c r="G150" s="63"/>
    </row>
    <row r="151" spans="2:7">
      <c r="B151" s="63"/>
      <c r="C151" s="63"/>
      <c r="D151" s="63"/>
      <c r="E151" s="63"/>
      <c r="F151" s="63"/>
      <c r="G151" s="63"/>
    </row>
    <row r="152" spans="2:7">
      <c r="B152" s="63"/>
      <c r="C152" s="63"/>
      <c r="D152" s="63"/>
      <c r="E152" s="63"/>
      <c r="F152" s="63"/>
      <c r="G152" s="63"/>
    </row>
    <row r="153" spans="2:7">
      <c r="B153" s="63"/>
      <c r="C153" s="63"/>
      <c r="D153" s="63"/>
      <c r="E153" s="63"/>
      <c r="F153" s="63"/>
      <c r="G153" s="63"/>
    </row>
    <row r="154" spans="2:7">
      <c r="B154" s="63"/>
      <c r="C154" s="63"/>
      <c r="D154" s="63"/>
      <c r="E154" s="63"/>
      <c r="F154" s="63"/>
      <c r="G154" s="63"/>
    </row>
    <row r="155" spans="2:7">
      <c r="B155" s="63"/>
      <c r="C155" s="63"/>
      <c r="D155" s="63"/>
      <c r="E155" s="63"/>
      <c r="F155" s="63"/>
      <c r="G155" s="63"/>
    </row>
    <row r="156" spans="2:7">
      <c r="B156" s="63"/>
      <c r="C156" s="63"/>
      <c r="D156" s="63"/>
      <c r="E156" s="63"/>
      <c r="F156" s="63"/>
      <c r="G156" s="63"/>
    </row>
    <row r="157" spans="2:7">
      <c r="B157" s="63"/>
      <c r="C157" s="63"/>
      <c r="D157" s="63"/>
      <c r="E157" s="63"/>
      <c r="F157" s="63"/>
      <c r="G157" s="63"/>
    </row>
    <row r="158" spans="2:7">
      <c r="B158" s="63"/>
      <c r="C158" s="63"/>
      <c r="D158" s="63"/>
      <c r="E158" s="63"/>
      <c r="F158" s="63"/>
      <c r="G158" s="63"/>
    </row>
    <row r="159" spans="2:7">
      <c r="B159" s="63"/>
      <c r="C159" s="63"/>
      <c r="D159" s="63"/>
      <c r="E159" s="63"/>
      <c r="F159" s="63"/>
      <c r="G159" s="63"/>
    </row>
    <row r="160" spans="2:7">
      <c r="B160" s="63"/>
      <c r="C160" s="63"/>
      <c r="D160" s="63"/>
      <c r="E160" s="63"/>
      <c r="F160" s="63"/>
      <c r="G160" s="63"/>
    </row>
    <row r="161" spans="2:7">
      <c r="B161" s="63"/>
      <c r="C161" s="63"/>
      <c r="D161" s="63"/>
      <c r="E161" s="63"/>
      <c r="F161" s="63"/>
      <c r="G161" s="63"/>
    </row>
    <row r="162" spans="2:7">
      <c r="B162" s="63"/>
      <c r="C162" s="63"/>
      <c r="D162" s="63"/>
      <c r="E162" s="63"/>
      <c r="F162" s="63"/>
      <c r="G162" s="63"/>
    </row>
    <row r="163" spans="2:7">
      <c r="B163" s="63"/>
      <c r="C163" s="63"/>
      <c r="D163" s="63"/>
      <c r="E163" s="63"/>
      <c r="F163" s="63"/>
      <c r="G163" s="63"/>
    </row>
    <row r="164" spans="2:7">
      <c r="B164" s="63"/>
      <c r="C164" s="63"/>
      <c r="D164" s="63"/>
      <c r="E164" s="63"/>
      <c r="F164" s="63"/>
      <c r="G164" s="63"/>
    </row>
    <row r="165" spans="2:7">
      <c r="B165" s="63"/>
      <c r="C165" s="63"/>
      <c r="D165" s="63"/>
      <c r="E165" s="63"/>
      <c r="F165" s="63"/>
      <c r="G165" s="63"/>
    </row>
    <row r="166" spans="2:7">
      <c r="B166" s="63"/>
      <c r="C166" s="63"/>
      <c r="D166" s="63"/>
      <c r="E166" s="63"/>
      <c r="F166" s="63"/>
      <c r="G166" s="63"/>
    </row>
    <row r="167" spans="2:7">
      <c r="B167" s="63"/>
      <c r="C167" s="63"/>
      <c r="D167" s="63"/>
      <c r="E167" s="63"/>
      <c r="F167" s="63"/>
      <c r="G167" s="63"/>
    </row>
    <row r="168" spans="2:7">
      <c r="B168" s="63"/>
      <c r="C168" s="63"/>
      <c r="D168" s="63"/>
      <c r="E168" s="63"/>
      <c r="F168" s="63"/>
      <c r="G168" s="63"/>
    </row>
    <row r="169" spans="2:7">
      <c r="B169" s="63"/>
      <c r="C169" s="63"/>
      <c r="D169" s="63"/>
      <c r="E169" s="63"/>
      <c r="F169" s="63"/>
      <c r="G169" s="63"/>
    </row>
    <row r="170" spans="2:7">
      <c r="B170" s="63"/>
      <c r="C170" s="63"/>
      <c r="D170" s="63"/>
      <c r="E170" s="63"/>
      <c r="F170" s="63"/>
      <c r="G170" s="63"/>
    </row>
    <row r="171" spans="2:7">
      <c r="B171" s="63"/>
      <c r="C171" s="63"/>
      <c r="D171" s="63"/>
      <c r="E171" s="63"/>
      <c r="F171" s="63"/>
      <c r="G171" s="63"/>
    </row>
    <row r="172" spans="2:7">
      <c r="B172" s="63"/>
      <c r="C172" s="63"/>
      <c r="D172" s="63"/>
      <c r="E172" s="63"/>
      <c r="F172" s="63"/>
      <c r="G172" s="63"/>
    </row>
    <row r="173" spans="2:7">
      <c r="B173" s="63"/>
      <c r="C173" s="63"/>
      <c r="D173" s="63"/>
      <c r="E173" s="63"/>
      <c r="F173" s="63"/>
      <c r="G173" s="63"/>
    </row>
    <row r="174" spans="2:7">
      <c r="B174" s="63"/>
      <c r="C174" s="63"/>
      <c r="D174" s="63"/>
      <c r="E174" s="63"/>
      <c r="F174" s="63"/>
      <c r="G174" s="63"/>
    </row>
    <row r="175" spans="2:7">
      <c r="B175" s="63"/>
      <c r="C175" s="63"/>
      <c r="D175" s="63"/>
      <c r="E175" s="63"/>
      <c r="F175" s="63"/>
      <c r="G175" s="63"/>
    </row>
    <row r="176" spans="2:7">
      <c r="B176" s="63"/>
      <c r="C176" s="63"/>
      <c r="D176" s="63"/>
      <c r="E176" s="63"/>
      <c r="F176" s="63"/>
      <c r="G176" s="63"/>
    </row>
    <row r="177" spans="2:7">
      <c r="B177" s="63"/>
      <c r="C177" s="63"/>
      <c r="D177" s="63"/>
      <c r="E177" s="63"/>
      <c r="F177" s="63"/>
      <c r="G177" s="63"/>
    </row>
    <row r="178" spans="2:7">
      <c r="B178" s="63"/>
      <c r="C178" s="63"/>
      <c r="D178" s="63"/>
      <c r="E178" s="63"/>
      <c r="F178" s="63"/>
      <c r="G178" s="63"/>
    </row>
    <row r="179" spans="2:7">
      <c r="B179" s="63"/>
      <c r="C179" s="63"/>
      <c r="D179" s="63"/>
      <c r="E179" s="63"/>
      <c r="F179" s="63"/>
      <c r="G179" s="63"/>
    </row>
    <row r="180" spans="2:7">
      <c r="B180" s="63"/>
      <c r="C180" s="63"/>
      <c r="D180" s="63"/>
      <c r="E180" s="63"/>
      <c r="F180" s="63"/>
      <c r="G180" s="63"/>
    </row>
    <row r="181" spans="2:7">
      <c r="B181" s="63"/>
      <c r="C181" s="63"/>
      <c r="D181" s="63"/>
      <c r="E181" s="63"/>
      <c r="F181" s="63"/>
      <c r="G181" s="63"/>
    </row>
    <row r="182" spans="2:7">
      <c r="B182" s="63"/>
      <c r="C182" s="63"/>
      <c r="D182" s="63"/>
      <c r="E182" s="63"/>
      <c r="F182" s="63"/>
      <c r="G182" s="63"/>
    </row>
    <row r="183" spans="2:7">
      <c r="B183" s="63"/>
      <c r="C183" s="63"/>
      <c r="D183" s="63"/>
      <c r="E183" s="63"/>
      <c r="F183" s="63"/>
      <c r="G183" s="63"/>
    </row>
    <row r="184" spans="2:7">
      <c r="B184" s="63"/>
      <c r="C184" s="63"/>
      <c r="D184" s="63"/>
      <c r="E184" s="63"/>
      <c r="F184" s="63"/>
      <c r="G184" s="63"/>
    </row>
    <row r="185" spans="2:7">
      <c r="B185" s="63"/>
      <c r="C185" s="63"/>
      <c r="D185" s="63"/>
      <c r="E185" s="63"/>
      <c r="F185" s="63"/>
      <c r="G185" s="63"/>
    </row>
    <row r="186" spans="2:7">
      <c r="B186" s="63"/>
      <c r="C186" s="63"/>
      <c r="D186" s="63"/>
      <c r="E186" s="63"/>
      <c r="F186" s="63"/>
      <c r="G186" s="63"/>
    </row>
    <row r="187" spans="2:7">
      <c r="B187" s="63"/>
      <c r="C187" s="63"/>
      <c r="D187" s="63"/>
      <c r="E187" s="63"/>
      <c r="F187" s="63"/>
      <c r="G187" s="63"/>
    </row>
    <row r="188" spans="2:7">
      <c r="B188" s="63"/>
      <c r="C188" s="63"/>
      <c r="D188" s="63"/>
      <c r="E188" s="63"/>
      <c r="F188" s="63"/>
      <c r="G188" s="63"/>
    </row>
    <row r="189" spans="2:7">
      <c r="B189" s="63"/>
      <c r="C189" s="63"/>
      <c r="D189" s="63"/>
      <c r="E189" s="63"/>
      <c r="F189" s="63"/>
      <c r="G189" s="63"/>
    </row>
    <row r="190" spans="2:7">
      <c r="B190" s="63"/>
      <c r="C190" s="63"/>
      <c r="D190" s="63"/>
      <c r="E190" s="63"/>
      <c r="F190" s="63"/>
      <c r="G190" s="63"/>
    </row>
    <row r="191" spans="2:7">
      <c r="B191" s="63"/>
      <c r="C191" s="63"/>
      <c r="D191" s="63"/>
      <c r="E191" s="63"/>
      <c r="F191" s="63"/>
      <c r="G191" s="63"/>
    </row>
    <row r="192" spans="2:7">
      <c r="B192" s="63"/>
      <c r="C192" s="63"/>
      <c r="D192" s="63"/>
      <c r="E192" s="63"/>
      <c r="F192" s="63"/>
      <c r="G192" s="63"/>
    </row>
    <row r="193" spans="2:7">
      <c r="B193" s="63"/>
      <c r="C193" s="63"/>
      <c r="D193" s="63"/>
      <c r="E193" s="63"/>
      <c r="F193" s="63"/>
      <c r="G193" s="63"/>
    </row>
    <row r="194" spans="2:7">
      <c r="B194" s="63"/>
      <c r="C194" s="63"/>
      <c r="D194" s="63"/>
      <c r="E194" s="63"/>
      <c r="F194" s="63"/>
      <c r="G194" s="63"/>
    </row>
    <row r="195" spans="2:7">
      <c r="B195" s="63"/>
      <c r="C195" s="63"/>
      <c r="D195" s="63"/>
      <c r="E195" s="63"/>
      <c r="F195" s="63"/>
      <c r="G195" s="63"/>
    </row>
    <row r="196" spans="2:7">
      <c r="B196" s="63"/>
      <c r="C196" s="63"/>
      <c r="D196" s="63"/>
      <c r="E196" s="63"/>
      <c r="F196" s="63"/>
      <c r="G196" s="63"/>
    </row>
    <row r="197" spans="2:7">
      <c r="B197" s="63"/>
      <c r="C197" s="63"/>
      <c r="D197" s="63"/>
      <c r="E197" s="63"/>
      <c r="F197" s="63"/>
      <c r="G197" s="63"/>
    </row>
    <row r="198" spans="2:7">
      <c r="B198" s="63"/>
      <c r="C198" s="63"/>
      <c r="D198" s="63"/>
      <c r="E198" s="63"/>
      <c r="F198" s="63"/>
      <c r="G198" s="63"/>
    </row>
    <row r="199" spans="2:7">
      <c r="B199" s="63"/>
      <c r="C199" s="63"/>
      <c r="D199" s="63"/>
      <c r="E199" s="63"/>
      <c r="F199" s="63"/>
      <c r="G199" s="63"/>
    </row>
    <row r="200" spans="2:7">
      <c r="B200" s="63"/>
      <c r="C200" s="63"/>
      <c r="D200" s="63"/>
      <c r="E200" s="63"/>
      <c r="F200" s="63"/>
      <c r="G200" s="63"/>
    </row>
    <row r="201" spans="2:7">
      <c r="B201" s="63"/>
      <c r="C201" s="63"/>
      <c r="D201" s="63"/>
      <c r="E201" s="63"/>
      <c r="F201" s="63"/>
      <c r="G201" s="63"/>
    </row>
    <row r="202" spans="2:7">
      <c r="B202" s="63"/>
      <c r="C202" s="63"/>
      <c r="D202" s="63"/>
      <c r="E202" s="63"/>
      <c r="F202" s="63"/>
      <c r="G202" s="63"/>
    </row>
    <row r="203" spans="2:7">
      <c r="B203" s="63"/>
      <c r="C203" s="63"/>
      <c r="D203" s="63"/>
      <c r="E203" s="63"/>
      <c r="F203" s="63"/>
      <c r="G203" s="63"/>
    </row>
    <row r="204" spans="2:7">
      <c r="B204" s="63"/>
      <c r="C204" s="63"/>
      <c r="D204" s="63"/>
      <c r="E204" s="63"/>
      <c r="F204" s="63"/>
      <c r="G204" s="63"/>
    </row>
    <row r="205" spans="2:7">
      <c r="B205" s="63"/>
      <c r="C205" s="63"/>
      <c r="D205" s="63"/>
      <c r="E205" s="63"/>
      <c r="F205" s="63"/>
      <c r="G205" s="63"/>
    </row>
    <row r="206" spans="2:7">
      <c r="B206" s="63"/>
      <c r="C206" s="63"/>
      <c r="D206" s="63"/>
      <c r="E206" s="63"/>
      <c r="F206" s="63"/>
      <c r="G206" s="63"/>
    </row>
    <row r="207" spans="2:7">
      <c r="B207" s="63"/>
      <c r="C207" s="63"/>
      <c r="D207" s="63"/>
      <c r="E207" s="63"/>
      <c r="F207" s="63"/>
      <c r="G207" s="63"/>
    </row>
    <row r="208" spans="2:7">
      <c r="B208" s="63"/>
      <c r="C208" s="63"/>
      <c r="D208" s="63"/>
      <c r="E208" s="63"/>
      <c r="F208" s="63"/>
      <c r="G208" s="63"/>
    </row>
    <row r="209" spans="2:7">
      <c r="B209" s="63"/>
      <c r="C209" s="63"/>
      <c r="D209" s="63"/>
      <c r="E209" s="63"/>
      <c r="F209" s="63"/>
      <c r="G209" s="63"/>
    </row>
    <row r="210" spans="2:7">
      <c r="B210" s="63"/>
      <c r="C210" s="63"/>
      <c r="D210" s="63"/>
      <c r="E210" s="63"/>
      <c r="F210" s="63"/>
      <c r="G210" s="63"/>
    </row>
    <row r="211" spans="2:7">
      <c r="B211" s="63"/>
      <c r="C211" s="63"/>
      <c r="D211" s="63"/>
      <c r="E211" s="63"/>
      <c r="F211" s="63"/>
      <c r="G211" s="63"/>
    </row>
    <row r="212" spans="2:7">
      <c r="B212" s="63"/>
      <c r="C212" s="63"/>
      <c r="D212" s="63"/>
      <c r="E212" s="63"/>
      <c r="F212" s="63"/>
      <c r="G212" s="63"/>
    </row>
    <row r="213" spans="2:7">
      <c r="B213" s="63"/>
      <c r="C213" s="63"/>
      <c r="D213" s="63"/>
      <c r="E213" s="63"/>
      <c r="F213" s="63"/>
      <c r="G213" s="63"/>
    </row>
    <row r="214" spans="2:7">
      <c r="B214" s="63"/>
      <c r="C214" s="63"/>
      <c r="D214" s="63"/>
      <c r="E214" s="63"/>
      <c r="F214" s="63"/>
      <c r="G214" s="63"/>
    </row>
    <row r="215" spans="2:7">
      <c r="B215" s="63"/>
      <c r="C215" s="63"/>
      <c r="D215" s="63"/>
      <c r="E215" s="63"/>
      <c r="F215" s="63"/>
      <c r="G215" s="63"/>
    </row>
    <row r="216" spans="2:7">
      <c r="B216" s="63"/>
      <c r="C216" s="63"/>
      <c r="D216" s="63"/>
      <c r="E216" s="63"/>
      <c r="F216" s="63"/>
      <c r="G216" s="63"/>
    </row>
    <row r="217" spans="2:7">
      <c r="B217" s="63"/>
      <c r="C217" s="63"/>
      <c r="D217" s="63"/>
      <c r="E217" s="63"/>
      <c r="F217" s="63"/>
      <c r="G217" s="63"/>
    </row>
    <row r="218" spans="2:7">
      <c r="B218" s="63"/>
      <c r="C218" s="63"/>
      <c r="D218" s="63"/>
      <c r="E218" s="63"/>
      <c r="F218" s="63"/>
      <c r="G218" s="63"/>
    </row>
    <row r="219" spans="2:7">
      <c r="B219" s="63"/>
      <c r="C219" s="63"/>
      <c r="D219" s="63"/>
      <c r="E219" s="63"/>
      <c r="F219" s="63"/>
      <c r="G219" s="63"/>
    </row>
    <row r="220" spans="2:7">
      <c r="B220" s="63"/>
      <c r="C220" s="63"/>
      <c r="D220" s="63"/>
      <c r="E220" s="63"/>
      <c r="F220" s="63"/>
      <c r="G220" s="63"/>
    </row>
    <row r="221" spans="2:7">
      <c r="B221" s="63"/>
      <c r="C221" s="63"/>
      <c r="D221" s="63"/>
      <c r="E221" s="63"/>
      <c r="F221" s="63"/>
      <c r="G221" s="63"/>
    </row>
    <row r="222" spans="2:7">
      <c r="B222" s="63"/>
      <c r="C222" s="63"/>
      <c r="D222" s="63"/>
      <c r="E222" s="63"/>
      <c r="F222" s="63"/>
      <c r="G222" s="63"/>
    </row>
    <row r="223" spans="2:7">
      <c r="B223" s="63"/>
      <c r="C223" s="63"/>
      <c r="D223" s="63"/>
      <c r="E223" s="63"/>
      <c r="F223" s="63"/>
      <c r="G223" s="63"/>
    </row>
    <row r="224" spans="2:7">
      <c r="B224" s="63"/>
      <c r="C224" s="63"/>
      <c r="D224" s="63"/>
      <c r="E224" s="63"/>
      <c r="F224" s="63"/>
      <c r="G224" s="63"/>
    </row>
    <row r="225" spans="2:7">
      <c r="B225" s="63"/>
      <c r="C225" s="63"/>
      <c r="D225" s="63"/>
      <c r="E225" s="63"/>
      <c r="F225" s="63"/>
      <c r="G225" s="63"/>
    </row>
    <row r="226" spans="2:7">
      <c r="B226" s="63"/>
      <c r="C226" s="63"/>
      <c r="D226" s="63"/>
      <c r="E226" s="63"/>
      <c r="F226" s="63"/>
      <c r="G226" s="63"/>
    </row>
    <row r="227" spans="2:7">
      <c r="B227" s="63"/>
      <c r="C227" s="63"/>
      <c r="D227" s="63"/>
      <c r="E227" s="63"/>
      <c r="F227" s="63"/>
      <c r="G227" s="63"/>
    </row>
    <row r="228" spans="2:7">
      <c r="B228" s="63"/>
      <c r="C228" s="63"/>
      <c r="D228" s="63"/>
      <c r="E228" s="63"/>
      <c r="F228" s="63"/>
      <c r="G228" s="63"/>
    </row>
    <row r="229" spans="2:7">
      <c r="B229" s="63"/>
      <c r="C229" s="63"/>
      <c r="D229" s="63"/>
      <c r="E229" s="63"/>
      <c r="F229" s="63"/>
      <c r="G229" s="63"/>
    </row>
    <row r="230" spans="2:7">
      <c r="B230" s="63"/>
      <c r="C230" s="63"/>
      <c r="D230" s="63"/>
      <c r="E230" s="63"/>
      <c r="F230" s="63"/>
      <c r="G230" s="63"/>
    </row>
    <row r="231" spans="2:7">
      <c r="B231" s="63"/>
      <c r="C231" s="63"/>
      <c r="D231" s="63"/>
      <c r="E231" s="63"/>
      <c r="F231" s="63"/>
      <c r="G231" s="63"/>
    </row>
    <row r="232" spans="2:7">
      <c r="B232" s="63"/>
      <c r="C232" s="63"/>
      <c r="D232" s="63"/>
      <c r="E232" s="63"/>
      <c r="F232" s="63"/>
      <c r="G232" s="63"/>
    </row>
    <row r="233" spans="2:7">
      <c r="B233" s="63"/>
      <c r="C233" s="63"/>
      <c r="D233" s="63"/>
      <c r="E233" s="63"/>
      <c r="F233" s="63"/>
      <c r="G233" s="63"/>
    </row>
    <row r="234" spans="2:7">
      <c r="B234" s="63"/>
      <c r="C234" s="63"/>
      <c r="D234" s="63"/>
      <c r="E234" s="63"/>
      <c r="F234" s="63"/>
      <c r="G234" s="63"/>
    </row>
    <row r="235" spans="2:7">
      <c r="B235" s="63"/>
      <c r="C235" s="63"/>
      <c r="D235" s="63"/>
      <c r="E235" s="63"/>
      <c r="F235" s="63"/>
      <c r="G235" s="63"/>
    </row>
    <row r="236" spans="2:7">
      <c r="B236" s="63"/>
      <c r="C236" s="63"/>
      <c r="D236" s="63"/>
      <c r="E236" s="63"/>
      <c r="F236" s="63"/>
      <c r="G236" s="63"/>
    </row>
    <row r="237" spans="2:7">
      <c r="B237" s="63"/>
      <c r="C237" s="63"/>
      <c r="D237" s="63"/>
      <c r="E237" s="63"/>
      <c r="F237" s="63"/>
      <c r="G237" s="63"/>
    </row>
    <row r="238" spans="2:7">
      <c r="B238" s="63"/>
      <c r="C238" s="63"/>
      <c r="D238" s="63"/>
      <c r="E238" s="63"/>
      <c r="F238" s="63"/>
      <c r="G238" s="63"/>
    </row>
    <row r="239" spans="2:7">
      <c r="B239" s="63"/>
      <c r="C239" s="63"/>
      <c r="D239" s="63"/>
      <c r="E239" s="63"/>
      <c r="F239" s="63"/>
      <c r="G239" s="63"/>
    </row>
    <row r="240" spans="2:7">
      <c r="B240" s="63"/>
      <c r="C240" s="63"/>
      <c r="D240" s="63"/>
      <c r="E240" s="63"/>
      <c r="F240" s="63"/>
      <c r="G240" s="63"/>
    </row>
    <row r="241" spans="2:7">
      <c r="B241" s="63"/>
      <c r="C241" s="63"/>
      <c r="D241" s="63"/>
      <c r="E241" s="63"/>
      <c r="F241" s="63"/>
      <c r="G241" s="63"/>
    </row>
    <row r="242" spans="2:7">
      <c r="B242" s="63"/>
      <c r="C242" s="63"/>
      <c r="D242" s="63"/>
      <c r="E242" s="63"/>
      <c r="F242" s="63"/>
      <c r="G242" s="63"/>
    </row>
    <row r="243" spans="2:7">
      <c r="B243" s="63"/>
      <c r="C243" s="63"/>
      <c r="D243" s="63"/>
      <c r="E243" s="63"/>
      <c r="F243" s="63"/>
      <c r="G243" s="63"/>
    </row>
    <row r="244" spans="2:7">
      <c r="B244" s="63"/>
      <c r="C244" s="63"/>
      <c r="D244" s="63"/>
      <c r="E244" s="63"/>
      <c r="F244" s="63"/>
      <c r="G244" s="63"/>
    </row>
    <row r="245" spans="2:7">
      <c r="B245" s="63"/>
      <c r="C245" s="63"/>
      <c r="D245" s="63"/>
      <c r="E245" s="63"/>
      <c r="F245" s="63"/>
      <c r="G245" s="63"/>
    </row>
    <row r="246" spans="2:7">
      <c r="B246" s="63"/>
      <c r="C246" s="63"/>
      <c r="D246" s="63"/>
      <c r="E246" s="63"/>
      <c r="F246" s="63"/>
      <c r="G246" s="63"/>
    </row>
    <row r="247" spans="2:7">
      <c r="B247" s="63"/>
      <c r="C247" s="63"/>
      <c r="D247" s="63"/>
      <c r="E247" s="63"/>
      <c r="F247" s="63"/>
      <c r="G247" s="63"/>
    </row>
    <row r="248" spans="2:7">
      <c r="B248" s="63"/>
      <c r="C248" s="63"/>
      <c r="D248" s="63"/>
      <c r="E248" s="63"/>
      <c r="F248" s="63"/>
      <c r="G248" s="63"/>
    </row>
    <row r="249" spans="2:7">
      <c r="B249" s="63"/>
      <c r="C249" s="63"/>
      <c r="D249" s="63"/>
      <c r="E249" s="63"/>
      <c r="F249" s="63"/>
      <c r="G249" s="63"/>
    </row>
    <row r="250" spans="2:7">
      <c r="B250" s="63"/>
      <c r="C250" s="63"/>
      <c r="D250" s="63"/>
      <c r="E250" s="63"/>
      <c r="F250" s="63"/>
      <c r="G250" s="63"/>
    </row>
    <row r="251" spans="2:7">
      <c r="B251" s="63"/>
      <c r="C251" s="63"/>
      <c r="D251" s="63"/>
      <c r="E251" s="63"/>
      <c r="F251" s="63"/>
      <c r="G251" s="63"/>
    </row>
    <row r="252" spans="2:7">
      <c r="B252" s="63"/>
      <c r="C252" s="63"/>
      <c r="D252" s="63"/>
      <c r="E252" s="63"/>
      <c r="F252" s="63"/>
      <c r="G252" s="63"/>
    </row>
    <row r="253" spans="2:7">
      <c r="B253" s="63"/>
      <c r="C253" s="63"/>
      <c r="D253" s="63"/>
      <c r="E253" s="63"/>
      <c r="F253" s="63"/>
      <c r="G253" s="63"/>
    </row>
    <row r="254" spans="2:7">
      <c r="B254" s="63"/>
      <c r="C254" s="63"/>
      <c r="D254" s="63"/>
      <c r="E254" s="63"/>
      <c r="F254" s="63"/>
      <c r="G254" s="63"/>
    </row>
    <row r="255" spans="2:7">
      <c r="B255" s="63"/>
      <c r="C255" s="63"/>
      <c r="D255" s="63"/>
      <c r="E255" s="63"/>
      <c r="F255" s="63"/>
      <c r="G255" s="63"/>
    </row>
    <row r="256" spans="2:7">
      <c r="B256" s="63"/>
      <c r="C256" s="63"/>
      <c r="D256" s="63"/>
      <c r="E256" s="63"/>
      <c r="F256" s="63"/>
      <c r="G256" s="63"/>
    </row>
    <row r="257" spans="2:7">
      <c r="B257" s="63"/>
      <c r="C257" s="63"/>
      <c r="D257" s="63"/>
      <c r="E257" s="63"/>
      <c r="F257" s="63"/>
      <c r="G257" s="63"/>
    </row>
    <row r="258" spans="2:7">
      <c r="B258" s="63"/>
      <c r="C258" s="63"/>
      <c r="D258" s="63"/>
      <c r="E258" s="63"/>
      <c r="F258" s="63"/>
      <c r="G258" s="63"/>
    </row>
    <row r="259" spans="2:7">
      <c r="B259" s="63"/>
      <c r="C259" s="63"/>
      <c r="D259" s="63"/>
      <c r="E259" s="63"/>
      <c r="F259" s="63"/>
      <c r="G259" s="63"/>
    </row>
    <row r="260" spans="2:7">
      <c r="B260" s="63"/>
      <c r="C260" s="63"/>
      <c r="D260" s="63"/>
      <c r="E260" s="63"/>
      <c r="F260" s="63"/>
      <c r="G260" s="63"/>
    </row>
    <row r="261" spans="2:7">
      <c r="B261" s="63"/>
      <c r="C261" s="63"/>
      <c r="D261" s="63"/>
      <c r="E261" s="63"/>
      <c r="F261" s="63"/>
      <c r="G261" s="63"/>
    </row>
    <row r="262" spans="2:7">
      <c r="B262" s="63"/>
      <c r="C262" s="63"/>
      <c r="D262" s="63"/>
      <c r="E262" s="63"/>
      <c r="F262" s="63"/>
      <c r="G262" s="63"/>
    </row>
    <row r="263" spans="2:7">
      <c r="B263" s="63"/>
      <c r="C263" s="63"/>
      <c r="D263" s="63"/>
      <c r="E263" s="63"/>
      <c r="F263" s="63"/>
      <c r="G263" s="63"/>
    </row>
    <row r="264" spans="2:7">
      <c r="B264" s="63"/>
      <c r="C264" s="63"/>
      <c r="D264" s="63"/>
      <c r="E264" s="63"/>
      <c r="F264" s="63"/>
      <c r="G264" s="63"/>
    </row>
    <row r="265" spans="2:7">
      <c r="B265" s="63"/>
      <c r="C265" s="63"/>
      <c r="D265" s="63"/>
      <c r="E265" s="63"/>
      <c r="F265" s="63"/>
      <c r="G265" s="63"/>
    </row>
    <row r="266" spans="2:7">
      <c r="B266" s="63"/>
      <c r="C266" s="63"/>
      <c r="D266" s="63"/>
      <c r="E266" s="63"/>
      <c r="F266" s="63"/>
      <c r="G266" s="63"/>
    </row>
    <row r="267" spans="2:7">
      <c r="B267" s="63"/>
      <c r="C267" s="63"/>
      <c r="D267" s="63"/>
      <c r="E267" s="63"/>
      <c r="F267" s="63"/>
      <c r="G267" s="63"/>
    </row>
    <row r="268" spans="2:7">
      <c r="B268" s="63"/>
      <c r="C268" s="63"/>
      <c r="D268" s="63"/>
      <c r="E268" s="63"/>
      <c r="F268" s="63"/>
      <c r="G268" s="63"/>
    </row>
    <row r="269" spans="2:7">
      <c r="B269" s="63"/>
      <c r="C269" s="63"/>
      <c r="D269" s="63"/>
      <c r="E269" s="63"/>
      <c r="F269" s="63"/>
      <c r="G269" s="63"/>
    </row>
    <row r="270" spans="2:7">
      <c r="B270" s="63"/>
      <c r="C270" s="63"/>
      <c r="D270" s="63"/>
      <c r="E270" s="63"/>
      <c r="F270" s="63"/>
      <c r="G270" s="63"/>
    </row>
    <row r="271" spans="2:7">
      <c r="B271" s="63"/>
      <c r="C271" s="63"/>
      <c r="D271" s="63"/>
      <c r="E271" s="63"/>
      <c r="F271" s="63"/>
      <c r="G271" s="63"/>
    </row>
    <row r="272" spans="2:7">
      <c r="B272" s="63"/>
      <c r="C272" s="63"/>
      <c r="D272" s="63"/>
      <c r="E272" s="63"/>
      <c r="F272" s="63"/>
      <c r="G272" s="63"/>
    </row>
    <row r="273" spans="2:7">
      <c r="B273" s="63"/>
      <c r="C273" s="63"/>
      <c r="D273" s="63"/>
      <c r="E273" s="63"/>
      <c r="F273" s="63"/>
      <c r="G273" s="63"/>
    </row>
    <row r="274" spans="2:7">
      <c r="B274" s="63"/>
      <c r="C274" s="63"/>
      <c r="D274" s="63"/>
      <c r="E274" s="63"/>
      <c r="F274" s="63"/>
      <c r="G274" s="63"/>
    </row>
    <row r="275" spans="2:7">
      <c r="B275" s="63"/>
      <c r="C275" s="63"/>
      <c r="D275" s="63"/>
      <c r="E275" s="63"/>
      <c r="F275" s="63"/>
      <c r="G275" s="63"/>
    </row>
    <row r="276" spans="2:7">
      <c r="B276" s="63"/>
      <c r="C276" s="63"/>
      <c r="D276" s="63"/>
      <c r="E276" s="63"/>
      <c r="F276" s="63"/>
      <c r="G276" s="63"/>
    </row>
    <row r="277" spans="2:7">
      <c r="B277" s="63"/>
      <c r="C277" s="63"/>
      <c r="D277" s="63"/>
      <c r="E277" s="63"/>
      <c r="F277" s="63"/>
      <c r="G277" s="63"/>
    </row>
    <row r="278" spans="2:7">
      <c r="B278" s="63"/>
      <c r="C278" s="63"/>
      <c r="D278" s="63"/>
      <c r="E278" s="63"/>
      <c r="F278" s="63"/>
      <c r="G278" s="63"/>
    </row>
    <row r="279" spans="2:7">
      <c r="B279" s="63"/>
      <c r="C279" s="63"/>
      <c r="D279" s="63"/>
      <c r="E279" s="63"/>
      <c r="F279" s="63"/>
      <c r="G279" s="63"/>
    </row>
    <row r="280" spans="2:7">
      <c r="B280" s="63"/>
      <c r="C280" s="63"/>
      <c r="D280" s="63"/>
      <c r="E280" s="63"/>
      <c r="F280" s="63"/>
      <c r="G280" s="63"/>
    </row>
    <row r="281" spans="2:7">
      <c r="B281" s="63"/>
      <c r="C281" s="63"/>
      <c r="D281" s="63"/>
      <c r="E281" s="63"/>
      <c r="F281" s="63"/>
      <c r="G281" s="63"/>
    </row>
    <row r="282" spans="2:7">
      <c r="B282" s="63"/>
      <c r="C282" s="63"/>
      <c r="D282" s="63"/>
      <c r="E282" s="63"/>
      <c r="F282" s="63"/>
      <c r="G282" s="63"/>
    </row>
    <row r="283" spans="2:7">
      <c r="B283" s="63"/>
      <c r="C283" s="63"/>
      <c r="D283" s="63"/>
      <c r="E283" s="63"/>
      <c r="F283" s="63"/>
      <c r="G283" s="63"/>
    </row>
    <row r="284" spans="2:7">
      <c r="B284" s="63"/>
      <c r="C284" s="63"/>
      <c r="D284" s="63"/>
      <c r="E284" s="63"/>
      <c r="F284" s="63"/>
      <c r="G284" s="63"/>
    </row>
    <row r="285" spans="2:7">
      <c r="B285" s="63"/>
      <c r="C285" s="63"/>
      <c r="D285" s="63"/>
      <c r="E285" s="63"/>
      <c r="F285" s="63"/>
      <c r="G285" s="63"/>
    </row>
    <row r="286" spans="2:7">
      <c r="B286" s="63"/>
      <c r="C286" s="63"/>
      <c r="D286" s="63"/>
      <c r="E286" s="63"/>
      <c r="F286" s="63"/>
      <c r="G286" s="63"/>
    </row>
    <row r="287" spans="2:7">
      <c r="B287" s="63"/>
      <c r="C287" s="63"/>
      <c r="D287" s="63"/>
      <c r="E287" s="63"/>
      <c r="F287" s="63"/>
      <c r="G287" s="63"/>
    </row>
    <row r="288" spans="2:7">
      <c r="B288" s="63"/>
      <c r="C288" s="63"/>
      <c r="D288" s="63"/>
      <c r="E288" s="63"/>
      <c r="F288" s="63"/>
      <c r="G288" s="63"/>
    </row>
    <row r="289" spans="2:7">
      <c r="B289" s="63"/>
      <c r="C289" s="63"/>
      <c r="D289" s="63"/>
      <c r="E289" s="63"/>
      <c r="F289" s="63"/>
      <c r="G289" s="63"/>
    </row>
    <row r="290" spans="2:7">
      <c r="B290" s="63"/>
      <c r="C290" s="63"/>
      <c r="D290" s="63"/>
      <c r="E290" s="63"/>
      <c r="F290" s="63"/>
      <c r="G290" s="63"/>
    </row>
    <row r="291" spans="2:7">
      <c r="B291" s="63"/>
      <c r="C291" s="63"/>
      <c r="D291" s="63"/>
      <c r="E291" s="63"/>
      <c r="F291" s="63"/>
      <c r="G291" s="63"/>
    </row>
    <row r="292" spans="2:7">
      <c r="B292" s="63"/>
      <c r="C292" s="63"/>
      <c r="D292" s="63"/>
      <c r="E292" s="63"/>
      <c r="F292" s="63"/>
      <c r="G292" s="63"/>
    </row>
    <row r="293" spans="2:7">
      <c r="B293" s="63"/>
      <c r="C293" s="63"/>
      <c r="D293" s="63"/>
      <c r="E293" s="63"/>
      <c r="F293" s="63"/>
      <c r="G293" s="63"/>
    </row>
    <row r="294" spans="2:7">
      <c r="B294" s="63"/>
      <c r="C294" s="63"/>
      <c r="D294" s="63"/>
      <c r="E294" s="63"/>
      <c r="F294" s="63"/>
      <c r="G294" s="63"/>
    </row>
    <row r="295" spans="2:7">
      <c r="B295" s="63"/>
      <c r="C295" s="63"/>
      <c r="D295" s="63"/>
      <c r="E295" s="63"/>
      <c r="F295" s="63"/>
      <c r="G295" s="63"/>
    </row>
    <row r="296" spans="2:7">
      <c r="B296" s="63"/>
      <c r="C296" s="63"/>
      <c r="D296" s="63"/>
      <c r="E296" s="63"/>
      <c r="F296" s="63"/>
      <c r="G296" s="63"/>
    </row>
    <row r="297" spans="2:7">
      <c r="B297" s="63"/>
      <c r="C297" s="63"/>
      <c r="D297" s="63"/>
      <c r="E297" s="63"/>
      <c r="F297" s="63"/>
      <c r="G297" s="63"/>
    </row>
    <row r="298" spans="2:7">
      <c r="B298" s="63"/>
      <c r="C298" s="63"/>
      <c r="D298" s="63"/>
      <c r="E298" s="63"/>
      <c r="F298" s="63"/>
      <c r="G298" s="63"/>
    </row>
    <row r="299" spans="2:7">
      <c r="B299" s="63"/>
      <c r="C299" s="63"/>
      <c r="D299" s="63"/>
      <c r="E299" s="63"/>
      <c r="F299" s="63"/>
      <c r="G299" s="63"/>
    </row>
    <row r="300" spans="2:7">
      <c r="B300" s="63"/>
      <c r="C300" s="63"/>
      <c r="D300" s="63"/>
      <c r="E300" s="63"/>
      <c r="F300" s="63"/>
      <c r="G300" s="63"/>
    </row>
    <row r="301" spans="2:7">
      <c r="B301" s="63"/>
      <c r="C301" s="63"/>
      <c r="D301" s="63"/>
      <c r="E301" s="63"/>
      <c r="F301" s="63"/>
      <c r="G301" s="63"/>
    </row>
    <row r="302" spans="2:7">
      <c r="B302" s="63"/>
      <c r="C302" s="63"/>
      <c r="D302" s="63"/>
      <c r="E302" s="63"/>
      <c r="F302" s="63"/>
      <c r="G302" s="63"/>
    </row>
    <row r="303" spans="2:7">
      <c r="B303" s="63"/>
      <c r="C303" s="63"/>
      <c r="D303" s="63"/>
      <c r="E303" s="63"/>
      <c r="F303" s="63"/>
      <c r="G303" s="63"/>
    </row>
    <row r="304" spans="2:7">
      <c r="B304" s="63"/>
      <c r="C304" s="63"/>
      <c r="D304" s="63"/>
      <c r="E304" s="63"/>
      <c r="F304" s="63"/>
      <c r="G304" s="63"/>
    </row>
    <row r="305" spans="2:7">
      <c r="B305" s="63"/>
      <c r="C305" s="63"/>
      <c r="D305" s="63"/>
      <c r="E305" s="63"/>
      <c r="F305" s="63"/>
      <c r="G305" s="63"/>
    </row>
    <row r="306" spans="2:7">
      <c r="B306" s="63"/>
      <c r="C306" s="63"/>
      <c r="D306" s="63"/>
      <c r="E306" s="63"/>
      <c r="F306" s="63"/>
      <c r="G306" s="63"/>
    </row>
    <row r="307" spans="2:7">
      <c r="B307" s="63"/>
      <c r="C307" s="63"/>
      <c r="D307" s="63"/>
      <c r="E307" s="63"/>
      <c r="F307" s="63"/>
      <c r="G307" s="63"/>
    </row>
    <row r="308" spans="2:7">
      <c r="B308" s="63"/>
      <c r="C308" s="63"/>
      <c r="D308" s="63"/>
      <c r="E308" s="63"/>
      <c r="F308" s="63"/>
      <c r="G308" s="63"/>
    </row>
    <row r="309" spans="2:7">
      <c r="B309" s="63"/>
      <c r="C309" s="63"/>
      <c r="D309" s="63"/>
      <c r="E309" s="63"/>
      <c r="F309" s="63"/>
      <c r="G309" s="63"/>
    </row>
    <row r="310" spans="2:7">
      <c r="B310" s="63"/>
      <c r="C310" s="63"/>
      <c r="D310" s="63"/>
      <c r="E310" s="63"/>
      <c r="F310" s="63"/>
      <c r="G310" s="63"/>
    </row>
    <row r="311" spans="2:7">
      <c r="B311" s="63"/>
      <c r="C311" s="63"/>
      <c r="D311" s="63"/>
      <c r="E311" s="63"/>
      <c r="F311" s="63"/>
      <c r="G311" s="63"/>
    </row>
    <row r="312" spans="2:7">
      <c r="B312" s="63"/>
      <c r="C312" s="63"/>
      <c r="D312" s="63"/>
      <c r="E312" s="63"/>
      <c r="F312" s="63"/>
      <c r="G312" s="63"/>
    </row>
    <row r="313" spans="2:7">
      <c r="B313" s="63"/>
      <c r="C313" s="63"/>
      <c r="D313" s="63"/>
      <c r="E313" s="63"/>
      <c r="F313" s="63"/>
      <c r="G313" s="63"/>
    </row>
    <row r="314" spans="2:7">
      <c r="B314" s="63"/>
      <c r="C314" s="63"/>
      <c r="D314" s="63"/>
      <c r="E314" s="63"/>
      <c r="F314" s="63"/>
      <c r="G314" s="63"/>
    </row>
    <row r="315" spans="2:7">
      <c r="B315" s="63"/>
      <c r="C315" s="63"/>
      <c r="D315" s="63"/>
      <c r="E315" s="63"/>
      <c r="F315" s="63"/>
      <c r="G315" s="63"/>
    </row>
    <row r="316" spans="2:7">
      <c r="B316" s="63"/>
      <c r="C316" s="63"/>
      <c r="D316" s="63"/>
      <c r="E316" s="63"/>
      <c r="F316" s="63"/>
      <c r="G316" s="63"/>
    </row>
    <row r="317" spans="2:7">
      <c r="B317" s="63"/>
      <c r="C317" s="63"/>
      <c r="D317" s="63"/>
      <c r="E317" s="63"/>
      <c r="F317" s="63"/>
      <c r="G317" s="63"/>
    </row>
    <row r="318" spans="2:7">
      <c r="B318" s="63"/>
      <c r="C318" s="63"/>
      <c r="D318" s="63"/>
      <c r="E318" s="63"/>
      <c r="F318" s="63"/>
      <c r="G318" s="63"/>
    </row>
    <row r="319" spans="2:7">
      <c r="B319" s="63"/>
      <c r="C319" s="63"/>
      <c r="D319" s="63"/>
      <c r="E319" s="63"/>
      <c r="F319" s="63"/>
      <c r="G319" s="63"/>
    </row>
    <row r="320" spans="2:7">
      <c r="B320" s="63"/>
      <c r="C320" s="63"/>
      <c r="D320" s="63"/>
      <c r="E320" s="63"/>
      <c r="F320" s="63"/>
      <c r="G320" s="63"/>
    </row>
    <row r="321" spans="2:7">
      <c r="B321" s="63"/>
      <c r="C321" s="63"/>
      <c r="D321" s="63"/>
      <c r="E321" s="63"/>
      <c r="F321" s="63"/>
      <c r="G321" s="63"/>
    </row>
    <row r="322" spans="2:7">
      <c r="B322" s="63"/>
      <c r="C322" s="63"/>
      <c r="D322" s="63"/>
      <c r="E322" s="63"/>
      <c r="F322" s="63"/>
      <c r="G322" s="63"/>
    </row>
    <row r="323" spans="2:7">
      <c r="B323" s="63"/>
      <c r="C323" s="63"/>
      <c r="D323" s="63"/>
      <c r="E323" s="63"/>
      <c r="F323" s="63"/>
      <c r="G323" s="63"/>
    </row>
    <row r="324" spans="2:7">
      <c r="B324" s="63"/>
      <c r="C324" s="63"/>
      <c r="D324" s="63"/>
      <c r="E324" s="63"/>
      <c r="F324" s="63"/>
      <c r="G324" s="63"/>
    </row>
    <row r="325" spans="2:7">
      <c r="B325" s="63"/>
      <c r="C325" s="63"/>
      <c r="D325" s="63"/>
      <c r="E325" s="63"/>
      <c r="F325" s="63"/>
      <c r="G325" s="63"/>
    </row>
    <row r="326" spans="2:7">
      <c r="B326" s="63"/>
      <c r="C326" s="63"/>
      <c r="D326" s="63"/>
      <c r="E326" s="63"/>
      <c r="F326" s="63"/>
      <c r="G326" s="63"/>
    </row>
    <row r="327" spans="2:7">
      <c r="B327" s="63"/>
      <c r="C327" s="63"/>
      <c r="D327" s="63"/>
      <c r="E327" s="63"/>
      <c r="F327" s="63"/>
      <c r="G327" s="63"/>
    </row>
    <row r="328" spans="2:7">
      <c r="B328" s="63"/>
      <c r="C328" s="63"/>
      <c r="D328" s="63"/>
      <c r="E328" s="63"/>
      <c r="F328" s="63"/>
      <c r="G328" s="63"/>
    </row>
    <row r="329" spans="2:7">
      <c r="B329" s="63"/>
      <c r="C329" s="63"/>
      <c r="D329" s="63"/>
      <c r="E329" s="63"/>
      <c r="F329" s="63"/>
      <c r="G329" s="63"/>
    </row>
    <row r="330" spans="2:7">
      <c r="B330" s="63"/>
      <c r="C330" s="63"/>
      <c r="D330" s="63"/>
      <c r="E330" s="63"/>
      <c r="F330" s="63"/>
      <c r="G330" s="63"/>
    </row>
    <row r="331" spans="2:7">
      <c r="B331" s="63"/>
      <c r="C331" s="63"/>
      <c r="D331" s="63"/>
      <c r="E331" s="63"/>
      <c r="F331" s="63"/>
      <c r="G331" s="63"/>
    </row>
    <row r="332" spans="2:7">
      <c r="B332" s="63"/>
      <c r="C332" s="63"/>
      <c r="D332" s="63"/>
      <c r="E332" s="63"/>
      <c r="F332" s="63"/>
      <c r="G332" s="63"/>
    </row>
    <row r="333" spans="2:7">
      <c r="B333" s="63"/>
      <c r="C333" s="63"/>
      <c r="D333" s="63"/>
      <c r="E333" s="63"/>
      <c r="F333" s="63"/>
      <c r="G333" s="63"/>
    </row>
    <row r="334" spans="2:7">
      <c r="B334" s="63"/>
      <c r="C334" s="63"/>
      <c r="D334" s="63"/>
      <c r="E334" s="63"/>
      <c r="F334" s="63"/>
      <c r="G334" s="63"/>
    </row>
    <row r="335" spans="2:7">
      <c r="B335" s="63"/>
      <c r="C335" s="63"/>
      <c r="D335" s="63"/>
      <c r="E335" s="63"/>
      <c r="F335" s="63"/>
      <c r="G335" s="63"/>
    </row>
    <row r="336" spans="2:7">
      <c r="B336" s="63"/>
      <c r="C336" s="63"/>
      <c r="D336" s="63"/>
      <c r="E336" s="63"/>
      <c r="F336" s="63"/>
      <c r="G336" s="63"/>
    </row>
    <row r="337" spans="2:7">
      <c r="B337" s="63"/>
      <c r="C337" s="63"/>
      <c r="D337" s="63"/>
      <c r="E337" s="63"/>
      <c r="F337" s="63"/>
      <c r="G337" s="63"/>
    </row>
    <row r="338" spans="2:7">
      <c r="B338" s="63"/>
      <c r="C338" s="63"/>
      <c r="D338" s="63"/>
      <c r="E338" s="63"/>
      <c r="F338" s="63"/>
      <c r="G338" s="63"/>
    </row>
    <row r="339" spans="2:7">
      <c r="B339" s="63"/>
      <c r="C339" s="63"/>
      <c r="D339" s="63"/>
      <c r="E339" s="63"/>
      <c r="F339" s="63"/>
      <c r="G339" s="63"/>
    </row>
    <row r="340" spans="2:7">
      <c r="B340" s="63"/>
      <c r="C340" s="63"/>
      <c r="D340" s="63"/>
      <c r="E340" s="63"/>
      <c r="F340" s="63"/>
      <c r="G340" s="63"/>
    </row>
    <row r="341" spans="2:7">
      <c r="B341" s="63"/>
      <c r="C341" s="63"/>
      <c r="D341" s="63"/>
      <c r="E341" s="63"/>
      <c r="F341" s="63"/>
      <c r="G341" s="63"/>
    </row>
    <row r="342" spans="2:7">
      <c r="B342" s="63"/>
      <c r="C342" s="63"/>
      <c r="D342" s="63"/>
      <c r="E342" s="63"/>
      <c r="F342" s="63"/>
      <c r="G342" s="63"/>
    </row>
    <row r="343" spans="2:7">
      <c r="B343" s="63"/>
      <c r="C343" s="63"/>
      <c r="D343" s="63"/>
      <c r="E343" s="63"/>
      <c r="F343" s="63"/>
      <c r="G343" s="63"/>
    </row>
    <row r="344" spans="2:7">
      <c r="B344" s="63"/>
      <c r="C344" s="63"/>
      <c r="D344" s="63"/>
      <c r="E344" s="63"/>
      <c r="F344" s="63"/>
      <c r="G344" s="63"/>
    </row>
    <row r="345" spans="2:7">
      <c r="B345" s="63"/>
      <c r="C345" s="63"/>
      <c r="D345" s="63"/>
      <c r="E345" s="63"/>
      <c r="F345" s="63"/>
      <c r="G345" s="63"/>
    </row>
    <row r="346" spans="2:7">
      <c r="B346" s="63"/>
      <c r="C346" s="63"/>
      <c r="D346" s="63"/>
      <c r="E346" s="63"/>
      <c r="F346" s="63"/>
      <c r="G346" s="63"/>
    </row>
    <row r="347" spans="2:7">
      <c r="B347" s="63"/>
      <c r="C347" s="63"/>
      <c r="D347" s="63"/>
      <c r="E347" s="63"/>
      <c r="F347" s="63"/>
      <c r="G347" s="63"/>
    </row>
    <row r="348" spans="2:7">
      <c r="B348" s="63"/>
      <c r="C348" s="63"/>
      <c r="D348" s="63"/>
      <c r="E348" s="63"/>
      <c r="F348" s="63"/>
      <c r="G348" s="63"/>
    </row>
    <row r="349" spans="2:7">
      <c r="B349" s="63"/>
      <c r="C349" s="63"/>
      <c r="D349" s="63"/>
      <c r="E349" s="63"/>
      <c r="F349" s="63"/>
      <c r="G349" s="63"/>
    </row>
    <row r="350" spans="2:7">
      <c r="B350" s="63"/>
      <c r="C350" s="63"/>
      <c r="D350" s="63"/>
      <c r="E350" s="63"/>
      <c r="F350" s="63"/>
      <c r="G350" s="63"/>
    </row>
    <row r="351" spans="2:7">
      <c r="B351" s="63"/>
      <c r="C351" s="63"/>
      <c r="D351" s="63"/>
      <c r="E351" s="63"/>
      <c r="F351" s="63"/>
      <c r="G351" s="63"/>
    </row>
    <row r="352" spans="2:7">
      <c r="B352" s="63"/>
      <c r="C352" s="63"/>
      <c r="D352" s="63"/>
      <c r="E352" s="63"/>
      <c r="F352" s="63"/>
      <c r="G352" s="63"/>
    </row>
    <row r="353" spans="2:7">
      <c r="B353" s="63"/>
      <c r="C353" s="63"/>
      <c r="D353" s="63"/>
      <c r="E353" s="63"/>
      <c r="F353" s="63"/>
      <c r="G353" s="63"/>
    </row>
    <row r="354" spans="2:7">
      <c r="B354" s="63"/>
      <c r="C354" s="63"/>
      <c r="D354" s="63"/>
      <c r="E354" s="63"/>
      <c r="F354" s="63"/>
      <c r="G354" s="63"/>
    </row>
    <row r="355" spans="2:7">
      <c r="B355" s="63"/>
      <c r="C355" s="63"/>
      <c r="D355" s="63"/>
      <c r="E355" s="63"/>
      <c r="F355" s="63"/>
      <c r="G355" s="63"/>
    </row>
    <row r="356" spans="2:7">
      <c r="B356" s="63"/>
      <c r="C356" s="63"/>
      <c r="D356" s="63"/>
      <c r="E356" s="63"/>
      <c r="F356" s="63"/>
      <c r="G356" s="63"/>
    </row>
    <row r="357" spans="2:7">
      <c r="B357" s="63"/>
      <c r="C357" s="63"/>
      <c r="D357" s="63"/>
      <c r="E357" s="63"/>
      <c r="F357" s="63"/>
      <c r="G357" s="63"/>
    </row>
    <row r="358" spans="2:7">
      <c r="B358" s="63"/>
      <c r="C358" s="63"/>
      <c r="D358" s="63"/>
      <c r="E358" s="63"/>
      <c r="F358" s="63"/>
      <c r="G358" s="63"/>
    </row>
    <row r="359" spans="2:7">
      <c r="B359" s="63"/>
      <c r="C359" s="63"/>
      <c r="D359" s="63"/>
      <c r="E359" s="63"/>
      <c r="F359" s="63"/>
      <c r="G359" s="63"/>
    </row>
    <row r="360" spans="2:7">
      <c r="B360" s="63"/>
      <c r="C360" s="63"/>
      <c r="D360" s="63"/>
      <c r="E360" s="63"/>
      <c r="F360" s="63"/>
      <c r="G360" s="63"/>
    </row>
    <row r="361" spans="2:7">
      <c r="B361" s="63"/>
      <c r="C361" s="63"/>
      <c r="D361" s="63"/>
      <c r="E361" s="63"/>
      <c r="F361" s="63"/>
      <c r="G361" s="63"/>
    </row>
    <row r="362" spans="2:7">
      <c r="B362" s="63"/>
      <c r="C362" s="63"/>
      <c r="D362" s="63"/>
      <c r="E362" s="63"/>
      <c r="F362" s="63"/>
      <c r="G362" s="63"/>
    </row>
    <row r="363" spans="2:7">
      <c r="B363" s="63"/>
      <c r="C363" s="63"/>
      <c r="D363" s="63"/>
      <c r="E363" s="63"/>
      <c r="F363" s="63"/>
      <c r="G363" s="63"/>
    </row>
    <row r="364" spans="2:7">
      <c r="B364" s="63"/>
      <c r="C364" s="63"/>
      <c r="D364" s="63"/>
      <c r="E364" s="63"/>
      <c r="F364" s="63"/>
      <c r="G364" s="63"/>
    </row>
    <row r="365" spans="2:7">
      <c r="B365" s="63"/>
      <c r="C365" s="63"/>
      <c r="D365" s="63"/>
      <c r="E365" s="63"/>
      <c r="F365" s="63"/>
      <c r="G365" s="63"/>
    </row>
    <row r="366" spans="2:7">
      <c r="B366" s="63"/>
      <c r="C366" s="63"/>
      <c r="D366" s="63"/>
      <c r="E366" s="63"/>
      <c r="F366" s="63"/>
      <c r="G366" s="63"/>
    </row>
    <row r="367" spans="2:7">
      <c r="B367" s="63"/>
      <c r="C367" s="63"/>
      <c r="D367" s="63"/>
      <c r="E367" s="63"/>
      <c r="F367" s="63"/>
      <c r="G367" s="63"/>
    </row>
    <row r="368" spans="2:7">
      <c r="B368" s="63"/>
      <c r="C368" s="63"/>
      <c r="D368" s="63"/>
      <c r="E368" s="63"/>
      <c r="F368" s="63"/>
      <c r="G368" s="63"/>
    </row>
    <row r="369" spans="2:7">
      <c r="B369" s="63"/>
      <c r="C369" s="63"/>
      <c r="D369" s="63"/>
      <c r="E369" s="63"/>
      <c r="F369" s="63"/>
      <c r="G369" s="63"/>
    </row>
    <row r="370" spans="2:7">
      <c r="B370" s="63"/>
      <c r="C370" s="63"/>
      <c r="D370" s="63"/>
      <c r="E370" s="63"/>
      <c r="F370" s="63"/>
      <c r="G370" s="63"/>
    </row>
    <row r="371" spans="2:7">
      <c r="B371" s="63"/>
      <c r="C371" s="63"/>
      <c r="D371" s="63"/>
      <c r="E371" s="63"/>
      <c r="F371" s="63"/>
      <c r="G371" s="63"/>
    </row>
    <row r="372" spans="2:7">
      <c r="B372" s="63"/>
      <c r="C372" s="63"/>
      <c r="D372" s="63"/>
      <c r="E372" s="63"/>
      <c r="F372" s="63"/>
      <c r="G372" s="63"/>
    </row>
    <row r="373" spans="2:7">
      <c r="B373" s="63"/>
      <c r="C373" s="63"/>
      <c r="D373" s="63"/>
      <c r="E373" s="63"/>
      <c r="F373" s="63"/>
      <c r="G373" s="63"/>
    </row>
    <row r="374" spans="2:7">
      <c r="B374" s="63"/>
      <c r="C374" s="63"/>
      <c r="D374" s="63"/>
      <c r="E374" s="63"/>
      <c r="F374" s="63"/>
      <c r="G374" s="63"/>
    </row>
    <row r="375" spans="2:7">
      <c r="B375" s="63"/>
      <c r="C375" s="63"/>
      <c r="D375" s="63"/>
      <c r="E375" s="63"/>
      <c r="F375" s="63"/>
      <c r="G375" s="63"/>
    </row>
    <row r="376" spans="2:7">
      <c r="B376" s="63"/>
      <c r="C376" s="63"/>
      <c r="D376" s="63"/>
      <c r="E376" s="63"/>
      <c r="F376" s="63"/>
      <c r="G376" s="63"/>
    </row>
    <row r="377" spans="2:7">
      <c r="B377" s="63"/>
      <c r="C377" s="63"/>
      <c r="D377" s="63"/>
      <c r="E377" s="63"/>
      <c r="F377" s="63"/>
      <c r="G377" s="63"/>
    </row>
    <row r="378" spans="2:7">
      <c r="B378" s="63"/>
      <c r="C378" s="63"/>
      <c r="D378" s="63"/>
      <c r="E378" s="63"/>
      <c r="F378" s="63"/>
      <c r="G378" s="63"/>
    </row>
    <row r="379" spans="2:7">
      <c r="B379" s="63"/>
      <c r="C379" s="63"/>
      <c r="D379" s="63"/>
      <c r="E379" s="63"/>
      <c r="F379" s="63"/>
      <c r="G379" s="63"/>
    </row>
    <row r="380" spans="2:7">
      <c r="B380" s="63"/>
      <c r="C380" s="63"/>
      <c r="D380" s="63"/>
      <c r="E380" s="63"/>
      <c r="F380" s="63"/>
      <c r="G380" s="63"/>
    </row>
    <row r="381" spans="2:7">
      <c r="B381" s="63"/>
      <c r="C381" s="63"/>
      <c r="D381" s="63"/>
      <c r="E381" s="63"/>
      <c r="F381" s="63"/>
      <c r="G381" s="63"/>
    </row>
    <row r="382" spans="2:7">
      <c r="B382" s="63"/>
      <c r="C382" s="63"/>
      <c r="D382" s="63"/>
      <c r="E382" s="63"/>
      <c r="F382" s="63"/>
      <c r="G382" s="63"/>
    </row>
    <row r="383" spans="2:7">
      <c r="B383" s="63"/>
      <c r="C383" s="63"/>
      <c r="D383" s="63"/>
      <c r="E383" s="63"/>
      <c r="F383" s="63"/>
      <c r="G383" s="63"/>
    </row>
    <row r="384" spans="2:7">
      <c r="B384" s="63"/>
      <c r="C384" s="63"/>
      <c r="D384" s="63"/>
      <c r="E384" s="63"/>
      <c r="F384" s="63"/>
      <c r="G384" s="63"/>
    </row>
    <row r="385" spans="2:7">
      <c r="B385" s="63"/>
      <c r="C385" s="63"/>
      <c r="D385" s="63"/>
      <c r="E385" s="63"/>
      <c r="F385" s="63"/>
      <c r="G385" s="63"/>
    </row>
    <row r="386" spans="2:7">
      <c r="B386" s="63"/>
      <c r="C386" s="63"/>
      <c r="D386" s="63"/>
      <c r="E386" s="63"/>
      <c r="F386" s="63"/>
      <c r="G386" s="63"/>
    </row>
    <row r="387" spans="2:7">
      <c r="B387" s="63"/>
      <c r="C387" s="63"/>
      <c r="D387" s="63"/>
      <c r="E387" s="63"/>
      <c r="F387" s="63"/>
      <c r="G387" s="63"/>
    </row>
    <row r="388" spans="2:7">
      <c r="B388" s="63"/>
      <c r="C388" s="63"/>
      <c r="D388" s="63"/>
      <c r="E388" s="63"/>
      <c r="F388" s="63"/>
      <c r="G388" s="63"/>
    </row>
    <row r="389" spans="2:7">
      <c r="B389" s="63"/>
      <c r="C389" s="63"/>
      <c r="D389" s="63"/>
      <c r="E389" s="63"/>
      <c r="F389" s="63"/>
      <c r="G389" s="63"/>
    </row>
    <row r="390" spans="2:7">
      <c r="B390" s="63"/>
      <c r="C390" s="63"/>
      <c r="D390" s="63"/>
      <c r="E390" s="63"/>
      <c r="F390" s="63"/>
      <c r="G390" s="63"/>
    </row>
    <row r="391" spans="2:7">
      <c r="B391" s="63"/>
      <c r="C391" s="63"/>
      <c r="D391" s="63"/>
      <c r="E391" s="63"/>
      <c r="F391" s="63"/>
      <c r="G391" s="63"/>
    </row>
    <row r="392" spans="2:7">
      <c r="B392" s="63"/>
      <c r="C392" s="63"/>
      <c r="D392" s="63"/>
      <c r="E392" s="63"/>
      <c r="F392" s="63"/>
      <c r="G392" s="63"/>
    </row>
    <row r="393" spans="2:7">
      <c r="B393" s="63"/>
      <c r="C393" s="63"/>
      <c r="D393" s="63"/>
      <c r="E393" s="63"/>
      <c r="F393" s="63"/>
      <c r="G393" s="63"/>
    </row>
    <row r="394" spans="2:7">
      <c r="B394" s="63"/>
      <c r="C394" s="63"/>
      <c r="D394" s="63"/>
      <c r="E394" s="63"/>
      <c r="F394" s="63"/>
      <c r="G394" s="63"/>
    </row>
    <row r="395" spans="2:7">
      <c r="B395" s="63"/>
      <c r="C395" s="63"/>
      <c r="D395" s="63"/>
      <c r="E395" s="63"/>
      <c r="F395" s="63"/>
      <c r="G395" s="63"/>
    </row>
    <row r="396" spans="2:7">
      <c r="B396" s="63"/>
      <c r="C396" s="63"/>
      <c r="D396" s="63"/>
      <c r="E396" s="63"/>
      <c r="F396" s="63"/>
      <c r="G396" s="63"/>
    </row>
    <row r="397" spans="2:7">
      <c r="B397" s="63"/>
      <c r="C397" s="63"/>
      <c r="D397" s="63"/>
      <c r="E397" s="63"/>
      <c r="F397" s="63"/>
      <c r="G397" s="63"/>
    </row>
    <row r="398" spans="2:7">
      <c r="B398" s="63"/>
      <c r="C398" s="63"/>
      <c r="D398" s="63"/>
      <c r="E398" s="63"/>
      <c r="F398" s="63"/>
      <c r="G398" s="63"/>
    </row>
    <row r="399" spans="2:7">
      <c r="B399" s="63"/>
      <c r="C399" s="63"/>
      <c r="D399" s="63"/>
      <c r="E399" s="63"/>
      <c r="F399" s="63"/>
      <c r="G399" s="63"/>
    </row>
    <row r="400" spans="2:7">
      <c r="B400" s="63"/>
      <c r="C400" s="63"/>
      <c r="D400" s="63"/>
      <c r="E400" s="63"/>
      <c r="F400" s="63"/>
      <c r="G400" s="63"/>
    </row>
    <row r="401" spans="2:7">
      <c r="B401" s="63"/>
      <c r="C401" s="63"/>
      <c r="D401" s="63"/>
      <c r="E401" s="63"/>
      <c r="F401" s="63"/>
      <c r="G401" s="63"/>
    </row>
    <row r="402" spans="2:7">
      <c r="B402" s="63"/>
      <c r="C402" s="63"/>
      <c r="D402" s="63"/>
      <c r="E402" s="63"/>
      <c r="F402" s="63"/>
      <c r="G402" s="63"/>
    </row>
    <row r="403" spans="2:7">
      <c r="B403" s="63"/>
      <c r="C403" s="63"/>
      <c r="D403" s="63"/>
      <c r="E403" s="63"/>
      <c r="F403" s="63"/>
      <c r="G403" s="63"/>
    </row>
    <row r="404" spans="2:7">
      <c r="B404" s="63"/>
      <c r="C404" s="63"/>
      <c r="D404" s="63"/>
      <c r="E404" s="63"/>
      <c r="F404" s="63"/>
      <c r="G404" s="63"/>
    </row>
    <row r="405" spans="2:7">
      <c r="B405" s="63"/>
      <c r="C405" s="63"/>
      <c r="D405" s="63"/>
      <c r="E405" s="63"/>
      <c r="F405" s="63"/>
      <c r="G405" s="63"/>
    </row>
    <row r="406" spans="2:7">
      <c r="B406" s="63"/>
      <c r="C406" s="63"/>
      <c r="D406" s="63"/>
      <c r="E406" s="63"/>
      <c r="F406" s="63"/>
      <c r="G406" s="63"/>
    </row>
    <row r="407" spans="2:7">
      <c r="B407" s="63"/>
      <c r="C407" s="63"/>
      <c r="D407" s="63"/>
      <c r="E407" s="63"/>
      <c r="F407" s="63"/>
      <c r="G407" s="63"/>
    </row>
    <row r="408" spans="2:7">
      <c r="B408" s="63"/>
      <c r="C408" s="63"/>
      <c r="D408" s="63"/>
      <c r="E408" s="63"/>
      <c r="F408" s="63"/>
      <c r="G408" s="63"/>
    </row>
    <row r="409" spans="2:7">
      <c r="B409" s="63"/>
      <c r="C409" s="63"/>
      <c r="D409" s="63"/>
      <c r="E409" s="63"/>
      <c r="F409" s="63"/>
      <c r="G409" s="63"/>
    </row>
    <row r="410" spans="2:7">
      <c r="B410" s="63"/>
      <c r="C410" s="63"/>
      <c r="D410" s="63"/>
      <c r="E410" s="63"/>
      <c r="F410" s="63"/>
      <c r="G410" s="63"/>
    </row>
    <row r="411" spans="2:7">
      <c r="B411" s="63"/>
      <c r="C411" s="63"/>
      <c r="D411" s="63"/>
      <c r="E411" s="63"/>
      <c r="F411" s="63"/>
      <c r="G411" s="63"/>
    </row>
    <row r="412" spans="2:7">
      <c r="B412" s="63"/>
      <c r="C412" s="63"/>
      <c r="D412" s="63"/>
      <c r="E412" s="63"/>
      <c r="F412" s="63"/>
      <c r="G412" s="63"/>
    </row>
    <row r="413" spans="2:7">
      <c r="B413" s="63"/>
      <c r="C413" s="63"/>
      <c r="D413" s="63"/>
      <c r="E413" s="63"/>
      <c r="F413" s="63"/>
      <c r="G413" s="63"/>
    </row>
    <row r="414" spans="2:7">
      <c r="B414" s="63"/>
      <c r="C414" s="63"/>
      <c r="D414" s="63"/>
      <c r="E414" s="63"/>
      <c r="F414" s="63"/>
      <c r="G414" s="63"/>
    </row>
    <row r="415" spans="2:7">
      <c r="B415" s="63"/>
      <c r="C415" s="63"/>
      <c r="D415" s="63"/>
      <c r="E415" s="63"/>
      <c r="F415" s="63"/>
      <c r="G415" s="63"/>
    </row>
    <row r="416" spans="2:7">
      <c r="B416" s="63"/>
      <c r="C416" s="63"/>
      <c r="D416" s="63"/>
      <c r="E416" s="63"/>
      <c r="F416" s="63"/>
      <c r="G416" s="63"/>
    </row>
    <row r="417" spans="2:7">
      <c r="B417" s="63"/>
      <c r="C417" s="63"/>
      <c r="D417" s="63"/>
      <c r="E417" s="63"/>
      <c r="F417" s="63"/>
      <c r="G417" s="63"/>
    </row>
    <row r="418" spans="2:7">
      <c r="B418" s="63"/>
      <c r="C418" s="63"/>
      <c r="D418" s="63"/>
      <c r="E418" s="63"/>
      <c r="F418" s="63"/>
      <c r="G418" s="63"/>
    </row>
    <row r="419" spans="2:7">
      <c r="B419" s="63"/>
      <c r="C419" s="63"/>
      <c r="D419" s="63"/>
      <c r="E419" s="63"/>
      <c r="F419" s="63"/>
      <c r="G419" s="63"/>
    </row>
    <row r="420" spans="2:7">
      <c r="B420" s="63"/>
      <c r="C420" s="63"/>
      <c r="D420" s="63"/>
      <c r="E420" s="63"/>
      <c r="F420" s="63"/>
      <c r="G420" s="63"/>
    </row>
    <row r="421" spans="2:7">
      <c r="B421" s="63"/>
      <c r="C421" s="63"/>
      <c r="D421" s="63"/>
      <c r="E421" s="63"/>
      <c r="F421" s="63"/>
      <c r="G421" s="63"/>
    </row>
    <row r="422" spans="2:7">
      <c r="B422" s="63"/>
      <c r="C422" s="63"/>
      <c r="D422" s="63"/>
      <c r="E422" s="63"/>
      <c r="F422" s="63"/>
      <c r="G422" s="63"/>
    </row>
    <row r="423" spans="2:7">
      <c r="B423" s="63"/>
      <c r="C423" s="63"/>
      <c r="D423" s="63"/>
      <c r="E423" s="63"/>
      <c r="F423" s="63"/>
      <c r="G423" s="63"/>
    </row>
    <row r="424" spans="2:7">
      <c r="B424" s="63"/>
      <c r="C424" s="63"/>
      <c r="D424" s="63"/>
      <c r="E424" s="63"/>
      <c r="F424" s="63"/>
      <c r="G424" s="63"/>
    </row>
    <row r="425" spans="2:7">
      <c r="B425" s="63"/>
      <c r="C425" s="63"/>
      <c r="D425" s="63"/>
      <c r="E425" s="63"/>
      <c r="F425" s="63"/>
      <c r="G425" s="63"/>
    </row>
    <row r="426" spans="2:7">
      <c r="B426" s="63"/>
      <c r="C426" s="63"/>
      <c r="D426" s="63"/>
      <c r="E426" s="63"/>
      <c r="F426" s="63"/>
      <c r="G426" s="63"/>
    </row>
    <row r="427" spans="2:7">
      <c r="B427" s="63"/>
      <c r="C427" s="63"/>
      <c r="D427" s="63"/>
      <c r="E427" s="63"/>
      <c r="F427" s="63"/>
      <c r="G427" s="63"/>
    </row>
    <row r="428" spans="2:7">
      <c r="B428" s="63"/>
      <c r="C428" s="63"/>
      <c r="D428" s="63"/>
      <c r="E428" s="63"/>
      <c r="F428" s="63"/>
      <c r="G428" s="63"/>
    </row>
    <row r="429" spans="2:7">
      <c r="B429" s="63"/>
      <c r="C429" s="63"/>
      <c r="D429" s="63"/>
      <c r="E429" s="63"/>
      <c r="F429" s="63"/>
      <c r="G429" s="63"/>
    </row>
    <row r="430" spans="2:7">
      <c r="B430" s="63"/>
      <c r="C430" s="63"/>
      <c r="D430" s="63"/>
      <c r="E430" s="63"/>
      <c r="F430" s="63"/>
      <c r="G430" s="63"/>
    </row>
    <row r="431" spans="2:7">
      <c r="B431" s="63"/>
      <c r="C431" s="63"/>
      <c r="D431" s="63"/>
      <c r="E431" s="63"/>
      <c r="F431" s="63"/>
      <c r="G431" s="63"/>
    </row>
    <row r="432" spans="2:7">
      <c r="B432" s="63"/>
      <c r="C432" s="63"/>
      <c r="D432" s="63"/>
      <c r="E432" s="63"/>
      <c r="F432" s="63"/>
      <c r="G432" s="63"/>
    </row>
    <row r="433" spans="2:7">
      <c r="B433" s="63"/>
      <c r="C433" s="63"/>
      <c r="D433" s="63"/>
      <c r="E433" s="63"/>
      <c r="F433" s="63"/>
      <c r="G433" s="63"/>
    </row>
    <row r="434" spans="2:7">
      <c r="B434" s="63"/>
      <c r="C434" s="63"/>
      <c r="D434" s="63"/>
      <c r="E434" s="63"/>
      <c r="F434" s="63"/>
      <c r="G434" s="63"/>
    </row>
    <row r="435" spans="2:7">
      <c r="B435" s="63"/>
      <c r="C435" s="63"/>
      <c r="D435" s="63"/>
      <c r="E435" s="63"/>
      <c r="F435" s="63"/>
      <c r="G435" s="63"/>
    </row>
    <row r="436" spans="2:7">
      <c r="B436" s="63"/>
      <c r="C436" s="63"/>
      <c r="D436" s="63"/>
      <c r="E436" s="63"/>
      <c r="F436" s="63"/>
      <c r="G436" s="63"/>
    </row>
    <row r="437" spans="2:7">
      <c r="B437" s="63"/>
      <c r="C437" s="63"/>
      <c r="D437" s="63"/>
      <c r="E437" s="63"/>
      <c r="F437" s="63"/>
      <c r="G437" s="63"/>
    </row>
    <row r="438" spans="2:7">
      <c r="B438" s="63"/>
      <c r="C438" s="63"/>
      <c r="D438" s="63"/>
      <c r="E438" s="63"/>
      <c r="F438" s="63"/>
      <c r="G438" s="63"/>
    </row>
    <row r="439" spans="2:7">
      <c r="B439" s="63"/>
      <c r="C439" s="63"/>
      <c r="D439" s="63"/>
      <c r="E439" s="63"/>
      <c r="F439" s="63"/>
      <c r="G439" s="63"/>
    </row>
    <row r="440" spans="2:7">
      <c r="B440" s="63"/>
      <c r="C440" s="63"/>
      <c r="D440" s="63"/>
      <c r="E440" s="63"/>
      <c r="F440" s="63"/>
      <c r="G440" s="63"/>
    </row>
    <row r="441" spans="2:7">
      <c r="C441" s="63"/>
      <c r="D441" s="63"/>
      <c r="E441" s="63"/>
      <c r="F441" s="63"/>
      <c r="G441" s="63"/>
    </row>
    <row r="442" spans="2:7">
      <c r="C442" s="63"/>
      <c r="D442" s="63"/>
      <c r="E442" s="63"/>
      <c r="F442" s="63"/>
      <c r="G442" s="63"/>
    </row>
    <row r="443" spans="2:7">
      <c r="C443" s="63"/>
      <c r="D443" s="63"/>
      <c r="E443" s="63"/>
      <c r="F443" s="63"/>
      <c r="G443" s="63"/>
    </row>
    <row r="444" spans="2:7">
      <c r="C444" s="63"/>
      <c r="D444" s="63"/>
      <c r="E444" s="63"/>
      <c r="F444" s="63"/>
      <c r="G444" s="63"/>
    </row>
    <row r="445" spans="2:7">
      <c r="D445" s="63"/>
      <c r="E445" s="63"/>
      <c r="F445" s="63"/>
      <c r="G445" s="63"/>
    </row>
  </sheetData>
  <sheetProtection algorithmName="SHA-512" hashValue="Lc/EhH9ePVdV2djembJStXHnU3EBRcg/jCuRAbhGbhywxy89d5T8FyipPcMWrJzIwNZ1cIgMToufXIMq1DRe9g==" saltValue="OoMPHfRxVhN4i/jEruVHFQ==" spinCount="100000" sheet="1" objects="1" scenarios="1"/>
  <mergeCells count="34">
    <mergeCell ref="F51:G51"/>
    <mergeCell ref="F27:G27"/>
    <mergeCell ref="F28:G28"/>
    <mergeCell ref="F29:G29"/>
    <mergeCell ref="F30:G30"/>
    <mergeCell ref="F31:G31"/>
    <mergeCell ref="F33:G33"/>
    <mergeCell ref="F34:G34"/>
    <mergeCell ref="F49:G49"/>
    <mergeCell ref="F50:G50"/>
    <mergeCell ref="F48:G48"/>
    <mergeCell ref="F45:G45"/>
    <mergeCell ref="E2:F2"/>
    <mergeCell ref="F21:G21"/>
    <mergeCell ref="F22:G22"/>
    <mergeCell ref="F16:G16"/>
    <mergeCell ref="F18:G18"/>
    <mergeCell ref="F19:G19"/>
    <mergeCell ref="F20:G20"/>
    <mergeCell ref="F15:G15"/>
    <mergeCell ref="E14:F14"/>
    <mergeCell ref="F17:G17"/>
    <mergeCell ref="E12:G12"/>
    <mergeCell ref="F23:G23"/>
    <mergeCell ref="F24:G24"/>
    <mergeCell ref="F47:G47"/>
    <mergeCell ref="F35:G35"/>
    <mergeCell ref="F44:G44"/>
    <mergeCell ref="F32:G32"/>
    <mergeCell ref="F36:G36"/>
    <mergeCell ref="F37:G37"/>
    <mergeCell ref="F26:G26"/>
    <mergeCell ref="F25:G25"/>
    <mergeCell ref="F46:G46"/>
  </mergeCells>
  <phoneticPr fontId="0" type="noConversion"/>
  <hyperlinks>
    <hyperlink ref="B55" r:id="rId1"/>
    <hyperlink ref="B58" r:id="rId2" display="www.nscl.msu.edu/lise"/>
  </hyperlinks>
  <printOptions horizontalCentered="1"/>
  <pageMargins left="0.18" right="0.18" top="0.64" bottom="0.36" header="0.27" footer="0.2"/>
  <pageSetup scale="61" orientation="portrait" r:id="rId3"/>
  <headerFooter alignWithMargins="0">
    <oddHeader>&amp;L&amp;D &amp;T &amp;C&amp;F &amp;R&amp;A</oddHeader>
  </headerFooter>
  <drawing r:id="rId4"/>
  <legacyDrawing r:id="rId5"/>
  <controls>
    <mc:AlternateContent xmlns:mc="http://schemas.openxmlformats.org/markup-compatibility/2006">
      <mc:Choice Requires="x14">
        <control shapeId="1025" r:id="rId6" name="SetLoss0">
          <controlPr defaultSize="0" autoLine="0" r:id="rId7">
            <anchor>
              <from>
                <xdr:col>1</xdr:col>
                <xdr:colOff>381000</xdr:colOff>
                <xdr:row>1</xdr:row>
                <xdr:rowOff>352425</xdr:rowOff>
              </from>
              <to>
                <xdr:col>1</xdr:col>
                <xdr:colOff>1371600</xdr:colOff>
                <xdr:row>3</xdr:row>
                <xdr:rowOff>66675</xdr:rowOff>
              </to>
            </anchor>
          </controlPr>
        </control>
      </mc:Choice>
      <mc:Fallback>
        <control shapeId="1025" r:id="rId6" name="SetLoss0"/>
      </mc:Fallback>
    </mc:AlternateContent>
    <mc:AlternateContent xmlns:mc="http://schemas.openxmlformats.org/markup-compatibility/2006">
      <mc:Choice Requires="x14">
        <control shapeId="1026" r:id="rId8" name="SetLoss1">
          <controlPr locked="0" defaultSize="0" autoLine="0" r:id="rId9">
            <anchor>
              <from>
                <xdr:col>1</xdr:col>
                <xdr:colOff>371475</xdr:colOff>
                <xdr:row>3</xdr:row>
                <xdr:rowOff>114300</xdr:rowOff>
              </from>
              <to>
                <xdr:col>1</xdr:col>
                <xdr:colOff>1362075</xdr:colOff>
                <xdr:row>5</xdr:row>
                <xdr:rowOff>9525</xdr:rowOff>
              </to>
            </anchor>
          </controlPr>
        </control>
      </mc:Choice>
      <mc:Fallback>
        <control shapeId="1026" r:id="rId8" name="SetLoss1"/>
      </mc:Fallback>
    </mc:AlternateContent>
    <mc:AlternateContent xmlns:mc="http://schemas.openxmlformats.org/markup-compatibility/2006">
      <mc:Choice Requires="x14">
        <control shapeId="1030" r:id="rId10" name="SetLoss2">
          <controlPr locked="0" defaultSize="0" autoLine="0" r:id="rId11">
            <anchor>
              <from>
                <xdr:col>1</xdr:col>
                <xdr:colOff>361950</xdr:colOff>
                <xdr:row>5</xdr:row>
                <xdr:rowOff>66675</xdr:rowOff>
              </from>
              <to>
                <xdr:col>1</xdr:col>
                <xdr:colOff>1352550</xdr:colOff>
                <xdr:row>6</xdr:row>
                <xdr:rowOff>152400</xdr:rowOff>
              </to>
            </anchor>
          </controlPr>
        </control>
      </mc:Choice>
      <mc:Fallback>
        <control shapeId="1030" r:id="rId10" name="SetLoss2"/>
      </mc:Fallback>
    </mc:AlternateContent>
    <mc:AlternateContent xmlns:mc="http://schemas.openxmlformats.org/markup-compatibility/2006">
      <mc:Choice Requires="x14">
        <control shapeId="1036" r:id="rId12" name="SetChargeState0">
          <controlPr defaultSize="0" autoLine="0" r:id="rId13">
            <anchor>
              <from>
                <xdr:col>2</xdr:col>
                <xdr:colOff>361950</xdr:colOff>
                <xdr:row>1</xdr:row>
                <xdr:rowOff>342900</xdr:rowOff>
              </from>
              <to>
                <xdr:col>2</xdr:col>
                <xdr:colOff>1352550</xdr:colOff>
                <xdr:row>3</xdr:row>
                <xdr:rowOff>57150</xdr:rowOff>
              </to>
            </anchor>
          </controlPr>
        </control>
      </mc:Choice>
      <mc:Fallback>
        <control shapeId="1036" r:id="rId12" name="SetChargeState0"/>
      </mc:Fallback>
    </mc:AlternateContent>
    <mc:AlternateContent xmlns:mc="http://schemas.openxmlformats.org/markup-compatibility/2006">
      <mc:Choice Requires="x14">
        <control shapeId="1037" r:id="rId14" name="SetChargeState1">
          <controlPr locked="0" defaultSize="0" autoLine="0" r:id="rId15">
            <anchor>
              <from>
                <xdr:col>2</xdr:col>
                <xdr:colOff>352425</xdr:colOff>
                <xdr:row>3</xdr:row>
                <xdr:rowOff>114300</xdr:rowOff>
              </from>
              <to>
                <xdr:col>2</xdr:col>
                <xdr:colOff>1343025</xdr:colOff>
                <xdr:row>5</xdr:row>
                <xdr:rowOff>9525</xdr:rowOff>
              </to>
            </anchor>
          </controlPr>
        </control>
      </mc:Choice>
      <mc:Fallback>
        <control shapeId="1037" r:id="rId14" name="SetChargeState1"/>
      </mc:Fallback>
    </mc:AlternateContent>
    <mc:AlternateContent xmlns:mc="http://schemas.openxmlformats.org/markup-compatibility/2006">
      <mc:Choice Requires="x14">
        <control shapeId="1038" r:id="rId16" name="SetChargeState2">
          <controlPr locked="0" defaultSize="0" autoLine="0" r:id="rId17">
            <anchor>
              <from>
                <xdr:col>2</xdr:col>
                <xdr:colOff>352425</xdr:colOff>
                <xdr:row>5</xdr:row>
                <xdr:rowOff>47625</xdr:rowOff>
              </from>
              <to>
                <xdr:col>2</xdr:col>
                <xdr:colOff>1343025</xdr:colOff>
                <xdr:row>6</xdr:row>
                <xdr:rowOff>133350</xdr:rowOff>
              </to>
            </anchor>
          </controlPr>
        </control>
      </mc:Choice>
      <mc:Fallback>
        <control shapeId="1038" r:id="rId16" name="SetChargeState2"/>
      </mc:Fallback>
    </mc:AlternateContent>
    <mc:AlternateContent xmlns:mc="http://schemas.openxmlformats.org/markup-compatibility/2006">
      <mc:Choice Requires="x14">
        <control shapeId="1039" r:id="rId18" name="SetStrag0">
          <controlPr defaultSize="0" autoLine="0" r:id="rId19">
            <anchor>
              <from>
                <xdr:col>3</xdr:col>
                <xdr:colOff>438150</xdr:colOff>
                <xdr:row>2</xdr:row>
                <xdr:rowOff>0</xdr:rowOff>
              </from>
              <to>
                <xdr:col>3</xdr:col>
                <xdr:colOff>1428750</xdr:colOff>
                <xdr:row>3</xdr:row>
                <xdr:rowOff>85725</xdr:rowOff>
              </to>
            </anchor>
          </controlPr>
        </control>
      </mc:Choice>
      <mc:Fallback>
        <control shapeId="1039" r:id="rId18" name="SetStrag0"/>
      </mc:Fallback>
    </mc:AlternateContent>
    <mc:AlternateContent xmlns:mc="http://schemas.openxmlformats.org/markup-compatibility/2006">
      <mc:Choice Requires="x14">
        <control shapeId="1040" r:id="rId20" name="SetStrag1">
          <controlPr locked="0" defaultSize="0" autoLine="0" r:id="rId21">
            <anchor>
              <from>
                <xdr:col>3</xdr:col>
                <xdr:colOff>438150</xdr:colOff>
                <xdr:row>3</xdr:row>
                <xdr:rowOff>152400</xdr:rowOff>
              </from>
              <to>
                <xdr:col>3</xdr:col>
                <xdr:colOff>1428750</xdr:colOff>
                <xdr:row>5</xdr:row>
                <xdr:rowOff>47625</xdr:rowOff>
              </to>
            </anchor>
          </controlPr>
        </control>
      </mc:Choice>
      <mc:Fallback>
        <control shapeId="1040" r:id="rId20" name="SetStrag1"/>
      </mc:Fallback>
    </mc:AlternateContent>
    <mc:AlternateContent xmlns:mc="http://schemas.openxmlformats.org/markup-compatibility/2006">
      <mc:Choice Requires="x14">
        <control shapeId="1042" r:id="rId22" name="InitAgain">
          <controlPr defaultSize="0" autoLine="0" r:id="rId23">
            <anchor moveWithCells="1">
              <from>
                <xdr:col>1</xdr:col>
                <xdr:colOff>152400</xdr:colOff>
                <xdr:row>61</xdr:row>
                <xdr:rowOff>95250</xdr:rowOff>
              </from>
              <to>
                <xdr:col>1</xdr:col>
                <xdr:colOff>638175</xdr:colOff>
                <xdr:row>63</xdr:row>
                <xdr:rowOff>9525</xdr:rowOff>
              </to>
            </anchor>
          </controlPr>
        </control>
      </mc:Choice>
      <mc:Fallback>
        <control shapeId="1042" r:id="rId22" name="InitAgain"/>
      </mc:Fallback>
    </mc:AlternateContent>
    <mc:AlternateContent xmlns:mc="http://schemas.openxmlformats.org/markup-compatibility/2006">
      <mc:Choice Requires="x14">
        <control shapeId="1043" r:id="rId24" name="Button 19">
          <controlPr defaultSize="0" print="0" autoFill="0" autoPict="0" macro="[0]!Sheet1.SetChargeState3_Click">
            <anchor moveWithCells="1" sizeWithCells="1">
              <from>
                <xdr:col>2</xdr:col>
                <xdr:colOff>209550</xdr:colOff>
                <xdr:row>7</xdr:row>
                <xdr:rowOff>47625</xdr:rowOff>
              </from>
              <to>
                <xdr:col>2</xdr:col>
                <xdr:colOff>1514475</xdr:colOff>
                <xdr:row>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5" name="Button 20">
          <controlPr defaultSize="0" print="0" autoFill="0" autoPict="0" macro="[0]!Sheet1.SetChargeState4_Click">
            <anchor moveWithCells="1" sizeWithCells="1">
              <from>
                <xdr:col>2</xdr:col>
                <xdr:colOff>219075</xdr:colOff>
                <xdr:row>9</xdr:row>
                <xdr:rowOff>19050</xdr:rowOff>
              </from>
              <to>
                <xdr:col>2</xdr:col>
                <xdr:colOff>1524000</xdr:colOff>
                <xdr:row>9</xdr:row>
                <xdr:rowOff>247650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6" name="Button 21">
          <controlPr defaultSize="0" print="0" autoFill="0" autoPict="0" macro="[0]!Sheet1.SetChargeState5_Click">
            <anchor moveWithCells="1" sizeWithCells="1">
              <from>
                <xdr:col>2</xdr:col>
                <xdr:colOff>209550</xdr:colOff>
                <xdr:row>10</xdr:row>
                <xdr:rowOff>0</xdr:rowOff>
              </from>
              <to>
                <xdr:col>2</xdr:col>
                <xdr:colOff>1514475</xdr:colOff>
                <xdr:row>11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8"/>
  <sheetViews>
    <sheetView showGridLines="0" showRowColHeaders="0" workbookViewId="0">
      <selection activeCell="C15" sqref="C15"/>
    </sheetView>
  </sheetViews>
  <sheetFormatPr defaultRowHeight="12.75"/>
  <cols>
    <col min="2" max="2" width="21.42578125" customWidth="1"/>
    <col min="3" max="3" width="14.85546875" style="3" customWidth="1"/>
    <col min="4" max="4" width="23.7109375" customWidth="1"/>
    <col min="5" max="5" width="24.7109375" style="3" customWidth="1"/>
    <col min="6" max="6" width="9.140625" style="3"/>
  </cols>
  <sheetData>
    <row r="1" spans="1:10">
      <c r="A1" s="63"/>
      <c r="B1" s="63"/>
      <c r="C1" s="62"/>
      <c r="D1" s="63"/>
      <c r="E1" s="62"/>
      <c r="F1" s="62"/>
      <c r="G1" s="63"/>
      <c r="H1" s="63"/>
      <c r="I1" s="63"/>
      <c r="J1" s="63"/>
    </row>
    <row r="2" spans="1:10">
      <c r="A2" s="63"/>
      <c r="B2" s="132" t="s">
        <v>293</v>
      </c>
      <c r="C2" s="62"/>
      <c r="D2" s="63"/>
      <c r="E2" s="62"/>
      <c r="F2" s="62"/>
      <c r="G2" s="63"/>
      <c r="H2" s="63"/>
      <c r="I2" s="63"/>
      <c r="J2" s="63"/>
    </row>
    <row r="3" spans="1:10">
      <c r="A3" s="63"/>
      <c r="B3" s="63"/>
      <c r="C3" s="62"/>
      <c r="D3" s="63"/>
      <c r="E3" s="62"/>
      <c r="F3" s="62"/>
      <c r="G3" s="63"/>
      <c r="H3" s="63"/>
      <c r="I3" s="63"/>
      <c r="J3" s="63"/>
    </row>
    <row r="4" spans="1:10" ht="15.75" thickBot="1">
      <c r="A4" s="63"/>
      <c r="B4" s="442" t="s">
        <v>142</v>
      </c>
      <c r="C4" s="443"/>
      <c r="D4" s="146" t="s">
        <v>285</v>
      </c>
      <c r="E4" s="147"/>
      <c r="F4" s="62"/>
      <c r="G4" s="63"/>
      <c r="H4" s="63"/>
      <c r="I4" s="63"/>
      <c r="J4" s="63"/>
    </row>
    <row r="5" spans="1:10">
      <c r="A5" s="63"/>
      <c r="B5" s="31" t="s">
        <v>300</v>
      </c>
      <c r="C5" s="129">
        <v>103</v>
      </c>
      <c r="D5" s="148" t="s">
        <v>292</v>
      </c>
      <c r="E5" s="139"/>
      <c r="F5" s="62"/>
      <c r="G5" s="63"/>
      <c r="H5" s="63"/>
      <c r="I5" s="63"/>
      <c r="J5" s="63"/>
    </row>
    <row r="6" spans="1:10">
      <c r="A6" s="63"/>
      <c r="B6" s="31" t="s">
        <v>134</v>
      </c>
      <c r="C6" s="130">
        <v>238</v>
      </c>
      <c r="D6" s="149" t="s">
        <v>288</v>
      </c>
      <c r="E6" s="85"/>
      <c r="F6" s="62"/>
      <c r="G6" s="63"/>
      <c r="H6" s="63"/>
      <c r="I6" s="63"/>
      <c r="J6" s="63"/>
    </row>
    <row r="7" spans="1:10">
      <c r="A7" s="63"/>
      <c r="B7" s="31" t="s">
        <v>133</v>
      </c>
      <c r="C7" s="130">
        <v>92</v>
      </c>
      <c r="D7" s="149" t="s">
        <v>289</v>
      </c>
      <c r="E7" s="85"/>
      <c r="F7" s="62"/>
      <c r="G7" s="63"/>
      <c r="H7" s="63"/>
      <c r="I7" s="63"/>
      <c r="J7" s="63"/>
    </row>
    <row r="8" spans="1:10">
      <c r="A8" s="63"/>
      <c r="B8" s="31" t="s">
        <v>297</v>
      </c>
      <c r="C8" s="130">
        <v>2</v>
      </c>
      <c r="D8" s="149" t="s">
        <v>287</v>
      </c>
      <c r="E8" s="85"/>
      <c r="F8" s="62"/>
      <c r="G8" s="63"/>
      <c r="H8" s="63"/>
      <c r="I8" s="63"/>
      <c r="J8" s="63"/>
    </row>
    <row r="9" spans="1:10">
      <c r="A9" s="63"/>
      <c r="B9" s="31" t="s">
        <v>137</v>
      </c>
      <c r="C9" s="130">
        <v>430</v>
      </c>
      <c r="D9" s="149" t="s">
        <v>303</v>
      </c>
      <c r="E9" s="85"/>
      <c r="F9" s="62"/>
      <c r="G9" s="63"/>
      <c r="H9" s="63"/>
      <c r="I9" s="63"/>
      <c r="J9" s="63"/>
    </row>
    <row r="10" spans="1:10">
      <c r="A10" s="63"/>
      <c r="B10" s="31" t="s">
        <v>136</v>
      </c>
      <c r="C10" s="130">
        <v>64</v>
      </c>
      <c r="D10" s="149" t="s">
        <v>290</v>
      </c>
      <c r="E10" s="85"/>
      <c r="F10" s="62"/>
      <c r="G10" s="63"/>
      <c r="I10" s="63"/>
      <c r="J10" s="63"/>
    </row>
    <row r="11" spans="1:10">
      <c r="A11" s="63"/>
      <c r="B11" s="31" t="s">
        <v>135</v>
      </c>
      <c r="C11" s="130">
        <v>29</v>
      </c>
      <c r="D11" s="149" t="s">
        <v>291</v>
      </c>
      <c r="E11" s="85"/>
      <c r="F11" s="62"/>
      <c r="G11" s="63"/>
      <c r="I11" s="63"/>
      <c r="J11" s="63"/>
    </row>
    <row r="12" spans="1:10">
      <c r="A12" s="63"/>
      <c r="B12" s="31" t="s">
        <v>139</v>
      </c>
      <c r="C12" s="130">
        <v>1000</v>
      </c>
      <c r="D12" s="149" t="s">
        <v>140</v>
      </c>
      <c r="E12" s="85"/>
      <c r="F12" s="62"/>
      <c r="G12" s="63"/>
      <c r="H12" s="63"/>
      <c r="I12" s="63"/>
      <c r="J12" s="63"/>
    </row>
    <row r="13" spans="1:10">
      <c r="A13" s="63"/>
      <c r="B13" s="31" t="s">
        <v>298</v>
      </c>
      <c r="C13" s="130">
        <v>0</v>
      </c>
      <c r="D13" s="149" t="s">
        <v>301</v>
      </c>
      <c r="E13" s="85"/>
      <c r="F13" s="62"/>
      <c r="G13" s="63"/>
      <c r="H13" s="63"/>
      <c r="I13" s="63"/>
      <c r="J13" s="63"/>
    </row>
    <row r="14" spans="1:10">
      <c r="A14" s="63"/>
      <c r="B14" s="31" t="s">
        <v>299</v>
      </c>
      <c r="C14" s="130">
        <v>0</v>
      </c>
      <c r="D14" s="150" t="s">
        <v>281</v>
      </c>
      <c r="E14" s="86"/>
      <c r="F14" s="62"/>
      <c r="G14" s="63"/>
      <c r="I14" s="63"/>
      <c r="J14" s="63"/>
    </row>
    <row r="15" spans="1:10">
      <c r="A15" s="63"/>
      <c r="B15" s="128" t="s">
        <v>269</v>
      </c>
      <c r="C15" s="133">
        <f>GlobalCode(ZmQ_out_g,Aparticle_g,Zparticle_g,ZmQ_in_g,Energy_g,Atarget_g,Ztarget_g,Thickness_g,Option_g,Fast_g)</f>
        <v>351.02800000000002</v>
      </c>
      <c r="D15" s="151"/>
      <c r="E15" s="147"/>
      <c r="F15" s="62"/>
      <c r="G15" s="63"/>
      <c r="H15" s="63"/>
      <c r="I15" s="63"/>
      <c r="J15" s="63"/>
    </row>
    <row r="16" spans="1:10">
      <c r="A16" s="63"/>
      <c r="B16" s="63"/>
      <c r="C16" s="62"/>
      <c r="D16" s="63"/>
      <c r="E16" s="62"/>
      <c r="F16" s="62"/>
      <c r="G16" s="63"/>
      <c r="H16" s="63"/>
      <c r="I16" s="63"/>
      <c r="J16" s="63"/>
    </row>
    <row r="17" spans="1:10">
      <c r="A17" s="63"/>
      <c r="B17" s="63" t="s">
        <v>296</v>
      </c>
      <c r="C17" s="62"/>
      <c r="D17" s="63"/>
      <c r="E17" s="62"/>
      <c r="F17" s="62"/>
      <c r="G17" s="63"/>
      <c r="H17" s="63"/>
      <c r="I17" s="63"/>
      <c r="J17" s="63"/>
    </row>
    <row r="18" spans="1:10">
      <c r="A18" s="63"/>
      <c r="B18" s="63" t="s">
        <v>295</v>
      </c>
      <c r="C18" s="62"/>
      <c r="D18" s="63"/>
      <c r="E18" s="62"/>
      <c r="F18" s="62"/>
      <c r="G18" s="63"/>
      <c r="H18" s="63"/>
      <c r="I18" s="63"/>
      <c r="J18" s="63"/>
    </row>
    <row r="19" spans="1:10">
      <c r="A19" s="63"/>
      <c r="B19" s="63"/>
      <c r="C19" s="62"/>
      <c r="D19" s="63"/>
      <c r="E19" s="62"/>
      <c r="F19" s="62"/>
      <c r="G19" s="63"/>
      <c r="H19" s="63"/>
      <c r="I19" s="63"/>
      <c r="J19" s="63"/>
    </row>
    <row r="20" spans="1:10">
      <c r="A20" s="63"/>
      <c r="B20" s="457" t="s">
        <v>282</v>
      </c>
      <c r="C20" s="458"/>
      <c r="D20" s="134" t="s">
        <v>268</v>
      </c>
      <c r="E20" s="135" t="s">
        <v>285</v>
      </c>
      <c r="F20" s="136" t="s">
        <v>286</v>
      </c>
      <c r="G20" s="63"/>
      <c r="H20" s="63"/>
      <c r="I20" s="63"/>
      <c r="J20" s="63"/>
    </row>
    <row r="21" spans="1:10">
      <c r="A21" s="63"/>
      <c r="B21" s="77" t="s">
        <v>300</v>
      </c>
      <c r="C21" s="131">
        <v>103</v>
      </c>
      <c r="D21" s="137">
        <f>GlobalCode(C21,Aparticle_g,Zparticle_g,ZmQ_in_g,Energy_g,Atarget_g,Ztarget_g,Thickness_g,Option_g,Fast_g)</f>
        <v>351.02800000000002</v>
      </c>
      <c r="E21" s="138" t="s">
        <v>302</v>
      </c>
      <c r="F21" s="139" t="s">
        <v>160</v>
      </c>
      <c r="G21" s="63"/>
      <c r="H21" s="63"/>
      <c r="I21" s="63"/>
      <c r="J21" s="63"/>
    </row>
    <row r="22" spans="1:10">
      <c r="A22" s="63"/>
      <c r="B22" s="31" t="s">
        <v>300</v>
      </c>
      <c r="C22" s="126">
        <v>102</v>
      </c>
      <c r="D22" s="140">
        <f>GlobalCode(C22,Aparticle_g,Zparticle_g,ZmQ_in_g,Energy_g,Atarget_g,Ztarget_g,Thickness_g,Option_g,Fast_g)</f>
        <v>154.71100000000001</v>
      </c>
      <c r="E22" s="84" t="s">
        <v>270</v>
      </c>
      <c r="F22" s="85" t="s">
        <v>140</v>
      </c>
      <c r="G22" s="63"/>
      <c r="H22" s="63"/>
      <c r="I22" s="63"/>
      <c r="J22" s="63"/>
    </row>
    <row r="23" spans="1:10">
      <c r="A23" s="63"/>
      <c r="B23" s="31" t="s">
        <v>300</v>
      </c>
      <c r="C23" s="126">
        <v>101</v>
      </c>
      <c r="D23" s="140">
        <f>GlobalCode(C23,Aparticle_g,Zparticle_g,ZmQ_in_g,Energy_g,Atarget_g,Ztarget_g,Thickness_g,Option_g,Fast_g)</f>
        <v>0.74399999999999999</v>
      </c>
      <c r="E23" s="84" t="s">
        <v>272</v>
      </c>
      <c r="F23" s="85"/>
      <c r="G23" s="63"/>
      <c r="H23" s="63"/>
      <c r="I23" s="63"/>
      <c r="J23" s="63"/>
    </row>
    <row r="24" spans="1:10">
      <c r="A24" s="63"/>
      <c r="B24" s="32" t="s">
        <v>300</v>
      </c>
      <c r="C24" s="127">
        <v>100</v>
      </c>
      <c r="D24" s="141">
        <f>GlobalCode(C24,Aparticle_g,Zparticle_g,ZmQ_in_g,Energy_g,Atarget_g,Ztarget_g,Thickness_g,Option_g,Fast_g)</f>
        <v>91.051000000000002</v>
      </c>
      <c r="E24" s="87" t="s">
        <v>271</v>
      </c>
      <c r="F24" s="86"/>
      <c r="G24" s="63"/>
      <c r="H24" s="63"/>
      <c r="I24" s="63"/>
      <c r="J24" s="63"/>
    </row>
    <row r="25" spans="1:10">
      <c r="A25" s="63"/>
      <c r="B25" s="77" t="s">
        <v>300</v>
      </c>
      <c r="C25" s="131">
        <v>0</v>
      </c>
      <c r="D25" s="142">
        <f>GlobalCode(C25,Aparticle_g,Zparticle_g,ZmQ_in_g,Energy_g,Atarget_g,Ztarget_g,Thickness_g,Option_g,Fast_g)</f>
        <v>0.29665039999999998</v>
      </c>
      <c r="E25" s="138" t="s">
        <v>273</v>
      </c>
      <c r="F25" s="139" t="s">
        <v>280</v>
      </c>
      <c r="G25" s="63"/>
      <c r="H25" s="63"/>
      <c r="I25" s="63"/>
      <c r="J25" s="63"/>
    </row>
    <row r="26" spans="1:10">
      <c r="A26" s="63"/>
      <c r="B26" s="31" t="s">
        <v>300</v>
      </c>
      <c r="C26" s="126">
        <f t="shared" ref="C26:C31" si="0">1+C25</f>
        <v>1</v>
      </c>
      <c r="D26" s="143">
        <f t="shared" ref="D26:D32" si="1">GlobalCode(C26,Aparticle_g,Zparticle_g,ZmQ_in_g,Energy_g,Atarget_g,Ztarget_g,Thickness_g,Option_g,Fast_g)</f>
        <v>0.46615319999999999</v>
      </c>
      <c r="E26" s="84" t="s">
        <v>274</v>
      </c>
      <c r="F26" s="85" t="s">
        <v>280</v>
      </c>
      <c r="G26" s="63"/>
      <c r="H26" s="63"/>
      <c r="I26" s="63"/>
      <c r="J26" s="63"/>
    </row>
    <row r="27" spans="1:10">
      <c r="A27" s="63"/>
      <c r="B27" s="31" t="s">
        <v>300</v>
      </c>
      <c r="C27" s="126">
        <f t="shared" si="0"/>
        <v>2</v>
      </c>
      <c r="D27" s="143">
        <f t="shared" si="1"/>
        <v>0.22954839999999999</v>
      </c>
      <c r="E27" s="84" t="s">
        <v>275</v>
      </c>
      <c r="F27" s="85" t="s">
        <v>280</v>
      </c>
      <c r="G27" s="63"/>
      <c r="H27" s="63"/>
      <c r="I27" s="63"/>
      <c r="J27" s="63"/>
    </row>
    <row r="28" spans="1:10">
      <c r="A28" s="63"/>
      <c r="B28" s="31" t="s">
        <v>300</v>
      </c>
      <c r="C28" s="126">
        <f t="shared" si="0"/>
        <v>3</v>
      </c>
      <c r="D28" s="143">
        <f t="shared" si="1"/>
        <v>7.5274000000000001E-3</v>
      </c>
      <c r="E28" s="84" t="s">
        <v>277</v>
      </c>
      <c r="F28" s="85" t="s">
        <v>280</v>
      </c>
      <c r="G28" s="63"/>
      <c r="H28" s="63"/>
      <c r="I28" s="63"/>
      <c r="J28" s="63"/>
    </row>
    <row r="29" spans="1:10">
      <c r="A29" s="63"/>
      <c r="B29" s="31" t="s">
        <v>300</v>
      </c>
      <c r="C29" s="126">
        <f t="shared" si="0"/>
        <v>4</v>
      </c>
      <c r="D29" s="143">
        <f t="shared" si="1"/>
        <v>1.192E-4</v>
      </c>
      <c r="E29" s="84" t="s">
        <v>276</v>
      </c>
      <c r="F29" s="85" t="s">
        <v>280</v>
      </c>
      <c r="G29" s="63"/>
      <c r="H29" s="63"/>
      <c r="I29" s="63"/>
      <c r="J29" s="63"/>
    </row>
    <row r="30" spans="1:10">
      <c r="A30" s="63"/>
      <c r="B30" s="31" t="s">
        <v>300</v>
      </c>
      <c r="C30" s="126">
        <f t="shared" si="0"/>
        <v>5</v>
      </c>
      <c r="D30" s="143">
        <f t="shared" si="1"/>
        <v>1.0999999999999998E-6</v>
      </c>
      <c r="E30" s="84" t="s">
        <v>278</v>
      </c>
      <c r="F30" s="85" t="s">
        <v>280</v>
      </c>
      <c r="G30" s="63"/>
      <c r="H30" s="63"/>
      <c r="I30" s="63"/>
      <c r="J30" s="63"/>
    </row>
    <row r="31" spans="1:10">
      <c r="A31" s="63"/>
      <c r="B31" s="31" t="s">
        <v>300</v>
      </c>
      <c r="C31" s="126">
        <f t="shared" si="0"/>
        <v>6</v>
      </c>
      <c r="D31" s="143">
        <f t="shared" si="1"/>
        <v>0</v>
      </c>
      <c r="E31" s="84" t="s">
        <v>279</v>
      </c>
      <c r="F31" s="85" t="s">
        <v>280</v>
      </c>
      <c r="G31" s="63"/>
      <c r="H31" s="63"/>
      <c r="I31" s="63"/>
      <c r="J31" s="63"/>
    </row>
    <row r="32" spans="1:10">
      <c r="A32" s="63"/>
      <c r="B32" s="32" t="s">
        <v>300</v>
      </c>
      <c r="C32" s="127">
        <v>7</v>
      </c>
      <c r="D32" s="144">
        <f t="shared" si="1"/>
        <v>0</v>
      </c>
      <c r="E32" s="87" t="s">
        <v>412</v>
      </c>
      <c r="F32" s="86" t="s">
        <v>280</v>
      </c>
      <c r="G32" s="63"/>
      <c r="H32" s="63"/>
      <c r="I32" s="63"/>
      <c r="J32" s="63"/>
    </row>
    <row r="33" spans="1:10">
      <c r="A33" s="63"/>
      <c r="B33" s="63"/>
      <c r="C33" s="62"/>
      <c r="D33" s="145">
        <f>+SUM(D25:D32)</f>
        <v>0.99999969999999994</v>
      </c>
      <c r="E33" s="62"/>
      <c r="F33" s="62"/>
      <c r="G33" s="63"/>
      <c r="H33" s="63"/>
      <c r="I33" s="63"/>
      <c r="J33" s="63"/>
    </row>
    <row r="34" spans="1:10">
      <c r="A34" s="63"/>
      <c r="B34" s="63"/>
      <c r="C34" s="62"/>
      <c r="D34" s="63"/>
      <c r="E34" s="62"/>
      <c r="F34" s="62"/>
      <c r="G34" s="63"/>
      <c r="H34" s="63"/>
      <c r="I34" s="63"/>
      <c r="J34" s="63"/>
    </row>
    <row r="35" spans="1:10">
      <c r="A35" s="63"/>
      <c r="B35" s="63"/>
      <c r="C35" s="62"/>
      <c r="D35" s="63"/>
      <c r="E35" s="62"/>
      <c r="F35" s="62"/>
      <c r="G35" s="63"/>
      <c r="H35" s="63"/>
      <c r="I35" s="63"/>
      <c r="J35" s="63"/>
    </row>
    <row r="36" spans="1:10">
      <c r="A36" s="63"/>
      <c r="B36" s="63" t="s">
        <v>283</v>
      </c>
      <c r="C36" s="62"/>
      <c r="D36" s="63"/>
      <c r="E36" s="62"/>
      <c r="F36" s="62"/>
      <c r="G36" s="63"/>
      <c r="H36" s="63"/>
      <c r="I36" s="63"/>
      <c r="J36" s="63"/>
    </row>
    <row r="37" spans="1:10">
      <c r="A37" s="63"/>
      <c r="B37" s="63" t="s">
        <v>284</v>
      </c>
      <c r="C37" s="62"/>
      <c r="D37" s="63"/>
      <c r="E37" s="62"/>
      <c r="F37" s="62"/>
      <c r="G37" s="63"/>
      <c r="H37" s="63"/>
      <c r="I37" s="63"/>
      <c r="J37" s="63"/>
    </row>
    <row r="38" spans="1:10">
      <c r="A38" s="63"/>
      <c r="B38" s="63"/>
      <c r="C38" s="62"/>
      <c r="D38" s="63"/>
      <c r="E38" s="62"/>
      <c r="F38" s="62"/>
      <c r="G38" s="63"/>
      <c r="H38" s="63"/>
      <c r="I38" s="63"/>
      <c r="J38" s="63"/>
    </row>
  </sheetData>
  <sheetProtection password="CA15" sheet="1" objects="1" scenarios="1"/>
  <mergeCells count="2">
    <mergeCell ref="B4:C4"/>
    <mergeCell ref="B20:C20"/>
  </mergeCells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9"/>
  <sheetViews>
    <sheetView showGridLines="0" showRowColHeaders="0" topLeftCell="A22" workbookViewId="0">
      <selection activeCell="B3" sqref="B3"/>
    </sheetView>
  </sheetViews>
  <sheetFormatPr defaultRowHeight="12.75"/>
  <cols>
    <col min="1" max="1" width="12.140625" customWidth="1"/>
    <col min="6" max="6" width="11.5703125" customWidth="1"/>
  </cols>
  <sheetData>
    <row r="1" spans="1:6">
      <c r="A1" s="152" t="s">
        <v>305</v>
      </c>
      <c r="B1" s="153">
        <v>29</v>
      </c>
      <c r="C1" s="154"/>
    </row>
    <row r="2" spans="1:6">
      <c r="A2" s="155" t="s">
        <v>137</v>
      </c>
      <c r="B2" s="156">
        <v>430</v>
      </c>
      <c r="C2" s="157" t="s">
        <v>160</v>
      </c>
    </row>
    <row r="4" spans="1:6">
      <c r="A4" s="164"/>
      <c r="B4" s="158" t="s">
        <v>306</v>
      </c>
      <c r="C4" s="158" t="s">
        <v>307</v>
      </c>
      <c r="D4" s="158" t="s">
        <v>308</v>
      </c>
      <c r="E4" s="158" t="s">
        <v>309</v>
      </c>
      <c r="F4" s="159" t="s">
        <v>428</v>
      </c>
    </row>
    <row r="5" spans="1:6" s="163" customFormat="1">
      <c r="A5" s="160" t="s">
        <v>310</v>
      </c>
      <c r="B5" s="161">
        <v>0</v>
      </c>
      <c r="C5" s="161">
        <v>1</v>
      </c>
      <c r="D5" s="161">
        <v>2</v>
      </c>
      <c r="E5" s="161">
        <v>3</v>
      </c>
      <c r="F5" s="162">
        <v>5</v>
      </c>
    </row>
    <row r="6" spans="1:6">
      <c r="A6" s="165">
        <v>4</v>
      </c>
      <c r="B6" s="166">
        <f>$A6-[0]!Charge_Qmean(energy,$A6,target,B$5)</f>
        <v>0</v>
      </c>
      <c r="C6" s="166">
        <f>$A6-[0]!Charge_Qmean(energy,$A6,target,C$5)</f>
        <v>0</v>
      </c>
      <c r="D6" s="166">
        <f>$A6-[0]!Charge_Qmean(energy,$A6,target,D$5)</f>
        <v>0.30900000000000016</v>
      </c>
      <c r="E6" s="166">
        <f>$A6-[0]!Charge_Qmean(energy,$A6,target,E$5)</f>
        <v>9.9999999999988987E-4</v>
      </c>
      <c r="F6" s="167">
        <f>$A6-[0]!Charge_Qmean(energy,$A6,target,F$5)</f>
        <v>0.62400000000000011</v>
      </c>
    </row>
    <row r="7" spans="1:6">
      <c r="A7" s="165">
        <f t="shared" ref="A7:A29" si="0">4+A6</f>
        <v>8</v>
      </c>
      <c r="B7" s="166">
        <f>$A7-[0]!Charge_Qmean(energy,$A7,target,B$5)</f>
        <v>0</v>
      </c>
      <c r="C7" s="166">
        <f>$A7-[0]!Charge_Qmean(energy,$A7,target,C$5)</f>
        <v>0</v>
      </c>
      <c r="D7" s="166">
        <f>$A7-[0]!Charge_Qmean(energy,$A7,target,D$5)</f>
        <v>0.69899999999999984</v>
      </c>
      <c r="E7" s="166">
        <f>$A7-[0]!Charge_Qmean(energy,$A7,target,E$5)</f>
        <v>1.000000000000334E-3</v>
      </c>
      <c r="F7" s="167">
        <f>$A7-[0]!Charge_Qmean(energy,$A7,target,F$5)</f>
        <v>0.16600000000000037</v>
      </c>
    </row>
    <row r="8" spans="1:6">
      <c r="A8" s="165">
        <f t="shared" si="0"/>
        <v>12</v>
      </c>
      <c r="B8" s="166">
        <f>$A8-[0]!Charge_Qmean(energy,$A8,target,B$5)</f>
        <v>0</v>
      </c>
      <c r="C8" s="166">
        <f>$A8-[0]!Charge_Qmean(energy,$A8,target,C$5)</f>
        <v>0</v>
      </c>
      <c r="D8" s="166">
        <f>$A8-[0]!Charge_Qmean(energy,$A8,target,D$5)</f>
        <v>1.077</v>
      </c>
      <c r="E8" s="166">
        <f>$A8-[0]!Charge_Qmean(energy,$A8,target,E$5)</f>
        <v>9.9999999999944578E-4</v>
      </c>
      <c r="F8" s="167">
        <f>$A8-[0]!Charge_Qmean(energy,$A8,target,F$5)</f>
        <v>8.9999999999999858E-2</v>
      </c>
    </row>
    <row r="9" spans="1:6">
      <c r="A9" s="165">
        <f t="shared" si="0"/>
        <v>16</v>
      </c>
      <c r="B9" s="166">
        <f>$A9-[0]!Charge_Qmean(energy,$A9,target,B$5)</f>
        <v>0</v>
      </c>
      <c r="C9" s="166">
        <f>$A9-[0]!Charge_Qmean(energy,$A9,target,C$5)</f>
        <v>0</v>
      </c>
      <c r="D9" s="166">
        <f>$A9-[0]!Charge_Qmean(energy,$A9,target,D$5)</f>
        <v>1.4440000000000008</v>
      </c>
      <c r="E9" s="166">
        <f>$A9-[0]!Charge_Qmean(energy,$A9,target,E$5)</f>
        <v>9.9999999999944578E-4</v>
      </c>
      <c r="F9" s="167">
        <f>$A9-[0]!Charge_Qmean(energy,$A9,target,F$5)</f>
        <v>6.7999999999999616E-2</v>
      </c>
    </row>
    <row r="10" spans="1:6">
      <c r="A10" s="165">
        <f t="shared" si="0"/>
        <v>20</v>
      </c>
      <c r="B10" s="166">
        <f>$A10-[0]!Charge_Qmean(energy,$A10,target,B$5)</f>
        <v>0</v>
      </c>
      <c r="C10" s="166">
        <f>$A10-[0]!Charge_Qmean(energy,$A10,target,C$5)</f>
        <v>0</v>
      </c>
      <c r="D10" s="166">
        <f>$A10-[0]!Charge_Qmean(energy,$A10,target,D$5)</f>
        <v>1.8030000000000008</v>
      </c>
      <c r="E10" s="166">
        <f>$A10-[0]!Charge_Qmean(energy,$A10,target,E$5)</f>
        <v>1.0000000000012221E-3</v>
      </c>
      <c r="F10" s="167">
        <f>$A10-[0]!Charge_Qmean(energy,$A10,target,F$5)</f>
        <v>6.2999999999998835E-2</v>
      </c>
    </row>
    <row r="11" spans="1:6">
      <c r="A11" s="165">
        <f t="shared" si="0"/>
        <v>24</v>
      </c>
      <c r="B11" s="166">
        <f>$A11-[0]!Charge_Qmean(energy,$A11,target,B$5)</f>
        <v>0</v>
      </c>
      <c r="C11" s="166">
        <f>$A11-[0]!Charge_Qmean(energy,$A11,target,C$5)</f>
        <v>0</v>
      </c>
      <c r="D11" s="166">
        <f>$A11-[0]!Charge_Qmean(energy,$A11,target,D$5)</f>
        <v>2.1539999999999999</v>
      </c>
      <c r="E11" s="166">
        <f>$A11-[0]!Charge_Qmean(energy,$A11,target,E$5)</f>
        <v>1.0000000000012221E-3</v>
      </c>
      <c r="F11" s="167">
        <f>$A11-[0]!Charge_Qmean(energy,$A11,target,F$5)</f>
        <v>6.5999999999998948E-2</v>
      </c>
    </row>
    <row r="12" spans="1:6">
      <c r="A12" s="165">
        <f t="shared" si="0"/>
        <v>28</v>
      </c>
      <c r="B12" s="166">
        <f>$A12-[0]!Charge_Qmean(energy,$A12,target,B$5)</f>
        <v>0</v>
      </c>
      <c r="C12" s="166">
        <f>$A12-[0]!Charge_Qmean(energy,$A12,target,C$5)</f>
        <v>0</v>
      </c>
      <c r="D12" s="166">
        <f>$A12-[0]!Charge_Qmean(energy,$A12,target,D$5)</f>
        <v>2.4980000000000011</v>
      </c>
      <c r="E12" s="166">
        <f>$A12-[0]!Charge_Qmean(energy,$A12,target,E$5)</f>
        <v>1.0000000000012221E-3</v>
      </c>
      <c r="F12" s="167">
        <f>$A12-[0]!Charge_Qmean(energy,$A12,target,F$5)</f>
        <v>7.4999999999999289E-2</v>
      </c>
    </row>
    <row r="13" spans="1:6">
      <c r="A13" s="165">
        <f t="shared" si="0"/>
        <v>32</v>
      </c>
      <c r="B13" s="166">
        <f>$A13-[0]!Charge_Qmean(energy,$A13,target,B$5)</f>
        <v>0</v>
      </c>
      <c r="C13" s="166">
        <f>$A13-[0]!Charge_Qmean(energy,$A13,target,C$5)</f>
        <v>0</v>
      </c>
      <c r="D13" s="166">
        <f>$A13-[0]!Charge_Qmean(energy,$A13,target,D$5)</f>
        <v>2.8359999999999985</v>
      </c>
      <c r="E13" s="166">
        <f>$A13-[0]!Charge_Qmean(energy,$A13,target,E$5)</f>
        <v>1.0000000000012221E-3</v>
      </c>
      <c r="F13" s="167">
        <f>$A13-[0]!Charge_Qmean(energy,$A13,target,F$5)</f>
        <v>8.8999999999998636E-2</v>
      </c>
    </row>
    <row r="14" spans="1:6">
      <c r="A14" s="165">
        <f t="shared" si="0"/>
        <v>36</v>
      </c>
      <c r="B14" s="166">
        <f>$A14-[0]!Charge_Qmean(energy,$A14,target,B$5)</f>
        <v>0</v>
      </c>
      <c r="C14" s="166">
        <f>$A14-[0]!Charge_Qmean(energy,$A14,target,C$5)</f>
        <v>0</v>
      </c>
      <c r="D14" s="166">
        <f>$A14-[0]!Charge_Qmean(energy,$A14,target,D$5)</f>
        <v>3.1689999999999969</v>
      </c>
      <c r="E14" s="166">
        <f>$A14-[0]!Charge_Qmean(energy,$A14,target,E$5)</f>
        <v>2.0000000000024443E-3</v>
      </c>
      <c r="F14" s="167">
        <f>$A14-[0]!Charge_Qmean(energy,$A14,target,F$5)</f>
        <v>0.10799999999999699</v>
      </c>
    </row>
    <row r="15" spans="1:6">
      <c r="A15" s="165">
        <f t="shared" si="0"/>
        <v>40</v>
      </c>
      <c r="B15" s="166">
        <f>$A15-[0]!Charge_Qmean(energy,$A15,target,B$5)</f>
        <v>6.0000000000002274E-3</v>
      </c>
      <c r="C15" s="166">
        <f>$A15-[0]!Charge_Qmean(energy,$A15,target,C$5)</f>
        <v>0</v>
      </c>
      <c r="D15" s="166">
        <f>$A15-[0]!Charge_Qmean(energy,$A15,target,D$5)</f>
        <v>3.4969999999999999</v>
      </c>
      <c r="E15" s="166">
        <f>$A15-[0]!Charge_Qmean(energy,$A15,target,E$5)</f>
        <v>3.9999999999977831E-3</v>
      </c>
      <c r="F15" s="167">
        <f>$A15-[0]!Charge_Qmean(energy,$A15,target,F$5)</f>
        <v>0.1319999999999979</v>
      </c>
    </row>
    <row r="16" spans="1:6">
      <c r="A16" s="165">
        <f t="shared" si="0"/>
        <v>44</v>
      </c>
      <c r="B16" s="166">
        <f>$A16-[0]!Charge_Qmean(energy,$A16,target,B$5)</f>
        <v>1.2999999999998124E-2</v>
      </c>
      <c r="C16" s="166">
        <f>$A16-[0]!Charge_Qmean(energy,$A16,target,C$5)</f>
        <v>0</v>
      </c>
      <c r="D16" s="166">
        <f>$A16-[0]!Charge_Qmean(energy,$A16,target,D$5)</f>
        <v>3.820999999999998</v>
      </c>
      <c r="E16" s="166">
        <f>$A16-[0]!Charge_Qmean(energy,$A16,target,E$5)</f>
        <v>8.0000000000026716E-3</v>
      </c>
      <c r="F16" s="167">
        <f>$A16-[0]!Charge_Qmean(energy,$A16,target,F$5)</f>
        <v>0.16100000000000136</v>
      </c>
    </row>
    <row r="17" spans="1:6">
      <c r="A17" s="165">
        <f t="shared" si="0"/>
        <v>48</v>
      </c>
      <c r="B17" s="166">
        <f>$A17-[0]!Charge_Qmean(energy,$A17,target,B$5)</f>
        <v>2.4000000000000909E-2</v>
      </c>
      <c r="C17" s="166">
        <f>$A17-[0]!Charge_Qmean(energy,$A17,target,C$5)</f>
        <v>0</v>
      </c>
      <c r="D17" s="166">
        <f>$A17-[0]!Charge_Qmean(energy,$A17,target,D$5)</f>
        <v>4.1409999999999982</v>
      </c>
      <c r="E17" s="166">
        <f>$A17-[0]!Charge_Qmean(energy,$A17,target,E$5)</f>
        <v>1.2999999999998124E-2</v>
      </c>
      <c r="F17" s="167">
        <f>$A17-[0]!Charge_Qmean(energy,$A17,target,F$5)</f>
        <v>0.19500000000000028</v>
      </c>
    </row>
    <row r="18" spans="1:6">
      <c r="A18" s="165">
        <f t="shared" si="0"/>
        <v>52</v>
      </c>
      <c r="B18" s="166">
        <f>$A18-[0]!Charge_Qmean(energy,$A18,target,B$5)</f>
        <v>4.0999999999996817E-2</v>
      </c>
      <c r="C18" s="166">
        <f>$A18-[0]!Charge_Qmean(energy,$A18,target,C$5)</f>
        <v>6.799999999999784E-2</v>
      </c>
      <c r="D18" s="166">
        <f>$A18-[0]!Charge_Qmean(energy,$A18,target,D$5)</f>
        <v>4.4570000000000007</v>
      </c>
      <c r="E18" s="166">
        <f>$A18-[0]!Charge_Qmean(energy,$A18,target,E$5)</f>
        <v>2.1000000000000796E-2</v>
      </c>
      <c r="F18" s="167">
        <f>$A18-[0]!Charge_Qmean(energy,$A18,target,F$5)</f>
        <v>0.23499999999999943</v>
      </c>
    </row>
    <row r="19" spans="1:6">
      <c r="A19" s="165">
        <f t="shared" si="0"/>
        <v>56</v>
      </c>
      <c r="B19" s="166">
        <f>$A19-[0]!Charge_Qmean(energy,$A19,target,B$5)</f>
        <v>6.4000000000000057E-2</v>
      </c>
      <c r="C19" s="166">
        <f>$A19-[0]!Charge_Qmean(energy,$A19,target,C$5)</f>
        <v>0.33899999999999864</v>
      </c>
      <c r="D19" s="166">
        <f>$A19-[0]!Charge_Qmean(energy,$A19,target,D$5)</f>
        <v>4.7700000000000031</v>
      </c>
      <c r="E19" s="166">
        <f>$A19-[0]!Charge_Qmean(energy,$A19,target,E$5)</f>
        <v>3.399999999999892E-2</v>
      </c>
      <c r="F19" s="167">
        <f>$A19-[0]!Charge_Qmean(energy,$A19,target,F$5)</f>
        <v>0.28000000000000114</v>
      </c>
    </row>
    <row r="20" spans="1:6">
      <c r="A20" s="165">
        <f t="shared" si="0"/>
        <v>60</v>
      </c>
      <c r="B20" s="166">
        <f>$A20-[0]!Charge_Qmean(energy,$A20,target,B$5)</f>
        <v>9.4999999999998863E-2</v>
      </c>
      <c r="C20" s="166">
        <f>$A20-[0]!Charge_Qmean(energy,$A20,target,C$5)</f>
        <v>0.65800000000000125</v>
      </c>
      <c r="D20" s="166">
        <f>$A20-[0]!Charge_Qmean(energy,$A20,target,D$5)</f>
        <v>5.0799999999999983</v>
      </c>
      <c r="E20" s="166">
        <f>$A20-[0]!Charge_Qmean(energy,$A20,target,E$5)</f>
        <v>5.1999999999999602E-2</v>
      </c>
      <c r="F20" s="167">
        <f>$A20-[0]!Charge_Qmean(energy,$A20,target,F$5)</f>
        <v>0.32999999999999829</v>
      </c>
    </row>
    <row r="21" spans="1:6">
      <c r="A21" s="165">
        <f t="shared" si="0"/>
        <v>64</v>
      </c>
      <c r="B21" s="166">
        <f>$A21-[0]!Charge_Qmean(energy,$A21,target,B$5)</f>
        <v>0.13499999999999801</v>
      </c>
      <c r="C21" s="166">
        <f>$A21-[0]!Charge_Qmean(energy,$A21,target,C$5)</f>
        <v>1.0219999999999985</v>
      </c>
      <c r="D21" s="166">
        <f>$A21-[0]!Charge_Qmean(energy,$A21,target,D$5)</f>
        <v>5.3870000000000005</v>
      </c>
      <c r="E21" s="166">
        <f>$A21-[0]!Charge_Qmean(energy,$A21,target,E$5)</f>
        <v>7.8000000000002956E-2</v>
      </c>
      <c r="F21" s="167">
        <f>$A21-[0]!Charge_Qmean(energy,$A21,target,F$5)</f>
        <v>0.38600000000000279</v>
      </c>
    </row>
    <row r="22" spans="1:6">
      <c r="A22" s="165">
        <f t="shared" si="0"/>
        <v>68</v>
      </c>
      <c r="B22" s="166">
        <f>$A22-[0]!Charge_Qmean(energy,$A22,target,B$5)</f>
        <v>0.18600000000000705</v>
      </c>
      <c r="C22" s="166">
        <f>$A22-[0]!Charge_Qmean(energy,$A22,target,C$5)</f>
        <v>1.4240000000000066</v>
      </c>
      <c r="D22" s="166">
        <f>$A22-[0]!Charge_Qmean(energy,$A22,target,D$5)</f>
        <v>5.6910000000000025</v>
      </c>
      <c r="E22" s="166">
        <f>$A22-[0]!Charge_Qmean(energy,$A22,target,E$5)</f>
        <v>0.11400000000000432</v>
      </c>
      <c r="F22" s="167">
        <f>$A22-[0]!Charge_Qmean(energy,$A22,target,F$5)</f>
        <v>0.44799999999999329</v>
      </c>
    </row>
    <row r="23" spans="1:6">
      <c r="A23" s="165">
        <f t="shared" si="0"/>
        <v>72</v>
      </c>
      <c r="B23" s="166">
        <f>$A23-[0]!Charge_Qmean(energy,$A23,target,B$5)</f>
        <v>0.24899999999999523</v>
      </c>
      <c r="C23" s="166">
        <f>$A23-[0]!Charge_Qmean(energy,$A23,target,C$5)</f>
        <v>1.8490000000000038</v>
      </c>
      <c r="D23" s="166">
        <f>$A23-[0]!Charge_Qmean(energy,$A23,target,D$5)</f>
        <v>5.9920000000000044</v>
      </c>
      <c r="E23" s="166">
        <f>$A23-[0]!Charge_Qmean(energy,$A23,target,E$5)</f>
        <v>0.1629999999999967</v>
      </c>
      <c r="F23" s="167">
        <f>$A23-[0]!Charge_Qmean(energy,$A23,target,F$5)</f>
        <v>0.51600000000000534</v>
      </c>
    </row>
    <row r="24" spans="1:6">
      <c r="A24" s="165">
        <f t="shared" si="0"/>
        <v>76</v>
      </c>
      <c r="B24" s="166">
        <f>$A24-[0]!Charge_Qmean(energy,$A24,target,B$5)</f>
        <v>0.32500000000000284</v>
      </c>
      <c r="C24" s="166">
        <f>$A24-[0]!Charge_Qmean(energy,$A24,target,C$5)</f>
        <v>2.2759999999999962</v>
      </c>
      <c r="D24" s="166">
        <f>$A24-[0]!Charge_Qmean(energy,$A24,target,D$5)</f>
        <v>6.2909999999999968</v>
      </c>
      <c r="E24" s="166">
        <f>$A24-[0]!Charge_Qmean(energy,$A24,target,E$5)</f>
        <v>0.22700000000000387</v>
      </c>
      <c r="F24" s="167">
        <f>$A24-[0]!Charge_Qmean(energy,$A24,target,F$5)</f>
        <v>0.59099999999999397</v>
      </c>
    </row>
    <row r="25" spans="1:6">
      <c r="A25" s="165">
        <f t="shared" si="0"/>
        <v>80</v>
      </c>
      <c r="B25" s="166">
        <f>$A25-[0]!Charge_Qmean(energy,$A25,target,B$5)</f>
        <v>0.41599999999999682</v>
      </c>
      <c r="C25" s="166">
        <f>$A25-[0]!Charge_Qmean(energy,$A25,target,C$5)</f>
        <v>2.6809999999999974</v>
      </c>
      <c r="D25" s="166">
        <f>$A25-[0]!Charge_Qmean(energy,$A25,target,D$5)</f>
        <v>6.5879999999999939</v>
      </c>
      <c r="E25" s="166">
        <f>$A25-[0]!Charge_Qmean(energy,$A25,target,E$5)</f>
        <v>0.31000000000000227</v>
      </c>
      <c r="F25" s="167">
        <f>$A25-[0]!Charge_Qmean(energy,$A25,target,F$5)</f>
        <v>0.67100000000000648</v>
      </c>
    </row>
    <row r="26" spans="1:6">
      <c r="A26" s="165">
        <f t="shared" si="0"/>
        <v>84</v>
      </c>
      <c r="B26" s="166">
        <f>$A26-[0]!Charge_Qmean(energy,$A26,target,B$5)</f>
        <v>0.52299999999999613</v>
      </c>
      <c r="C26" s="166">
        <f>$A26-[0]!Charge_Qmean(energy,$A26,target,C$5)</f>
        <v>3.0370000000000061</v>
      </c>
      <c r="D26" s="166">
        <f>$A26-[0]!Charge_Qmean(energy,$A26,target,D$5)</f>
        <v>6.882000000000005</v>
      </c>
      <c r="E26" s="166">
        <f>$A26-[0]!Charge_Qmean(energy,$A26,target,E$5)</f>
        <v>0.41400000000000148</v>
      </c>
      <c r="F26" s="167">
        <f>$A26-[0]!Charge_Qmean(energy,$A26,target,F$5)</f>
        <v>0.75799999999999557</v>
      </c>
    </row>
    <row r="27" spans="1:6">
      <c r="A27" s="165">
        <f t="shared" si="0"/>
        <v>88</v>
      </c>
      <c r="B27" s="166">
        <f>$A27-[0]!Charge_Qmean(energy,$A27,target,B$5)</f>
        <v>0.64700000000000557</v>
      </c>
      <c r="C27" s="166">
        <f>$A27-[0]!Charge_Qmean(energy,$A27,target,C$5)</f>
        <v>3.3229999999999933</v>
      </c>
      <c r="D27" s="166">
        <f>$A27-[0]!Charge_Qmean(energy,$A27,target,D$5)</f>
        <v>7.1740000000000066</v>
      </c>
      <c r="E27" s="166">
        <f>$A27-[0]!Charge_Qmean(energy,$A27,target,E$5)</f>
        <v>0.5379999999999967</v>
      </c>
      <c r="F27" s="167">
        <f>$A27-[0]!Charge_Qmean(energy,$A27,target,F$5)</f>
        <v>0.85099999999999909</v>
      </c>
    </row>
    <row r="28" spans="1:6">
      <c r="A28" s="165">
        <f t="shared" si="0"/>
        <v>92</v>
      </c>
      <c r="B28" s="166">
        <f>$A28-[0]!Charge_Qmean(energy,$A28,target,B$5)</f>
        <v>0.78900000000000148</v>
      </c>
      <c r="C28" s="166">
        <f>$A28-[0]!Charge_Qmean(energy,$A28,target,C$5)</f>
        <v>3.5250000000000057</v>
      </c>
      <c r="D28" s="166">
        <f>$A28-[0]!Charge_Qmean(energy,$A28,target,D$5)</f>
        <v>7.4650000000000034</v>
      </c>
      <c r="E28" s="166">
        <f>$A28-[0]!Charge_Qmean(energy,$A28,target,E$5)</f>
        <v>0.68099999999999739</v>
      </c>
      <c r="F28" s="167">
        <f>$A28-[0]!Charge_Qmean(energy,$A28,target,F$5)</f>
        <v>0.95199999999999818</v>
      </c>
    </row>
    <row r="29" spans="1:6">
      <c r="A29" s="168">
        <f t="shared" si="0"/>
        <v>96</v>
      </c>
      <c r="B29" s="169">
        <f>$A29-[0]!Charge_Qmean(energy,$A29,target,B$5)</f>
        <v>0.95000000000000284</v>
      </c>
      <c r="C29" s="169">
        <f>$A29-[0]!Charge_Qmean(energy,$A29,target,C$5)</f>
        <v>3.6400000000000006</v>
      </c>
      <c r="D29" s="169">
        <f>$A29-[0]!Charge_Qmean(energy,$A29,target,D$5)</f>
        <v>7.7530000000000001</v>
      </c>
      <c r="E29" s="169">
        <f>$A29-[0]!Charge_Qmean(energy,$A29,target,E$5)</f>
        <v>0.83899999999999864</v>
      </c>
      <c r="F29" s="170">
        <f>$A29-[0]!Charge_Qmean(energy,$A29,target,F$5)</f>
        <v>1.0580000000000069</v>
      </c>
    </row>
    <row r="31" spans="1:6">
      <c r="A31" s="152" t="s">
        <v>312</v>
      </c>
      <c r="B31" s="153">
        <v>82</v>
      </c>
      <c r="C31" s="154"/>
    </row>
    <row r="32" spans="1:6">
      <c r="A32" s="155" t="s">
        <v>313</v>
      </c>
      <c r="B32" s="156">
        <v>150</v>
      </c>
      <c r="C32" s="157" t="s">
        <v>160</v>
      </c>
    </row>
    <row r="34" spans="1:6">
      <c r="A34" s="164"/>
      <c r="B34" s="158" t="s">
        <v>306</v>
      </c>
      <c r="C34" s="158" t="s">
        <v>307</v>
      </c>
      <c r="D34" s="158" t="s">
        <v>308</v>
      </c>
      <c r="E34" s="158" t="s">
        <v>309</v>
      </c>
      <c r="F34" s="159" t="s">
        <v>428</v>
      </c>
    </row>
    <row r="35" spans="1:6">
      <c r="A35" s="160" t="s">
        <v>311</v>
      </c>
      <c r="B35" s="161">
        <v>0</v>
      </c>
      <c r="C35" s="161">
        <v>1</v>
      </c>
      <c r="D35" s="161">
        <v>2</v>
      </c>
      <c r="E35" s="161">
        <v>3</v>
      </c>
      <c r="F35" s="162">
        <v>5</v>
      </c>
    </row>
    <row r="36" spans="1:6">
      <c r="A36" s="165">
        <v>4</v>
      </c>
      <c r="B36" s="166">
        <f>BeamZ-[0]!Charge_Qmean(Energy2,BeamZ,$A36,B$5)</f>
        <v>1.5450000000000017</v>
      </c>
      <c r="C36" s="166">
        <f>BeamZ-[0]!Charge_Qmean(Energy2,BeamZ,$A36,C$5)</f>
        <v>2.4989999999999952</v>
      </c>
      <c r="D36" s="166">
        <f>BeamZ-[0]!Charge_Qmean(Energy2,BeamZ,$A36,D$5)</f>
        <v>0</v>
      </c>
      <c r="E36" s="166">
        <f>BeamZ-[0]!Charge_Qmean(Energy2,BeamZ,$A36,E$5)</f>
        <v>1.7759999999999962</v>
      </c>
      <c r="F36" s="167">
        <f>BeamZ-[0]!Charge_Qmean(Energy2,BeamZ,$A36,F$5)</f>
        <v>0.30200000000000671</v>
      </c>
    </row>
    <row r="37" spans="1:6">
      <c r="A37" s="165">
        <v>6</v>
      </c>
      <c r="B37" s="166">
        <f>BeamZ-[0]!Charge_Qmean(Energy2,BeamZ,$A37,B$5)</f>
        <v>1.5160000000000053</v>
      </c>
      <c r="C37" s="166">
        <f>BeamZ-[0]!Charge_Qmean(Energy2,BeamZ,$A37,C$5)</f>
        <v>2.0379999999999967</v>
      </c>
      <c r="D37" s="166">
        <f>BeamZ-[0]!Charge_Qmean(Energy2,BeamZ,$A37,D$5)</f>
        <v>1.0000000000047748E-3</v>
      </c>
      <c r="E37" s="166">
        <f>BeamZ-[0]!Charge_Qmean(Energy2,BeamZ,$A37,E$5)</f>
        <v>1.6479999999999961</v>
      </c>
      <c r="F37" s="167">
        <f>BeamZ-[0]!Charge_Qmean(Energy2,BeamZ,$A37,F$5)</f>
        <v>0.50400000000000489</v>
      </c>
    </row>
    <row r="38" spans="1:6">
      <c r="A38" s="165">
        <v>13</v>
      </c>
      <c r="B38" s="166">
        <f>BeamZ-[0]!Charge_Qmean(Energy2,BeamZ,$A38,B$5)</f>
        <v>1.7830000000000013</v>
      </c>
      <c r="C38" s="166">
        <f>BeamZ-[0]!Charge_Qmean(Energy2,BeamZ,$A38,C$5)</f>
        <v>2.777000000000001</v>
      </c>
      <c r="D38" s="166">
        <f>BeamZ-[0]!Charge_Qmean(Energy2,BeamZ,$A38,D$5)</f>
        <v>2.3979999999999961</v>
      </c>
      <c r="E38" s="166">
        <f>BeamZ-[0]!Charge_Qmean(Energy2,BeamZ,$A38,E$5)</f>
        <v>1.5180000000000007</v>
      </c>
      <c r="F38" s="167">
        <f>BeamZ-[0]!Charge_Qmean(Energy2,BeamZ,$A38,F$5)</f>
        <v>1.0499999999999972</v>
      </c>
    </row>
    <row r="39" spans="1:6">
      <c r="A39" s="165">
        <v>14</v>
      </c>
      <c r="B39" s="166">
        <f>BeamZ-[0]!Charge_Qmean(Energy2,BeamZ,$A39,B$5)</f>
        <v>1.8190000000000026</v>
      </c>
      <c r="C39" s="166">
        <f>BeamZ-[0]!Charge_Qmean(Energy2,BeamZ,$A39,C$5)</f>
        <v>3.0169999999999959</v>
      </c>
      <c r="D39" s="166">
        <f>BeamZ-[0]!Charge_Qmean(Energy2,BeamZ,$A39,D$5)</f>
        <v>2.703000000000003</v>
      </c>
      <c r="E39" s="166">
        <f>BeamZ-[0]!Charge_Qmean(Energy2,BeamZ,$A39,E$5)</f>
        <v>1.534000000000006</v>
      </c>
      <c r="F39" s="167">
        <f>BeamZ-[0]!Charge_Qmean(Energy2,BeamZ,$A39,F$5)</f>
        <v>1.1149999999999949</v>
      </c>
    </row>
    <row r="40" spans="1:6">
      <c r="A40" s="165">
        <f>4+A39</f>
        <v>18</v>
      </c>
      <c r="B40" s="166">
        <f>BeamZ-[0]!Charge_Qmean(Energy2,BeamZ,$A40,B$5)</f>
        <v>1.9440000000000026</v>
      </c>
      <c r="C40" s="166">
        <f>BeamZ-[0]!Charge_Qmean(Energy2,BeamZ,$A40,C$5)</f>
        <v>3.7990000000000066</v>
      </c>
      <c r="D40" s="166">
        <f>BeamZ-[0]!Charge_Qmean(Energy2,BeamZ,$A40,D$5)</f>
        <v>3.8250000000000028</v>
      </c>
      <c r="E40" s="166">
        <f>BeamZ-[0]!Charge_Qmean(Energy2,BeamZ,$A40,E$5)</f>
        <v>1.7349999999999994</v>
      </c>
      <c r="F40" s="167">
        <f>BeamZ-[0]!Charge_Qmean(Energy2,BeamZ,$A40,F$5)</f>
        <v>1.3529999999999944</v>
      </c>
    </row>
    <row r="41" spans="1:6">
      <c r="A41" s="165">
        <f>4+A40</f>
        <v>22</v>
      </c>
      <c r="B41" s="166">
        <f>BeamZ-[0]!Charge_Qmean(Energy2,BeamZ,$A41,B$5)</f>
        <v>2.0439999999999969</v>
      </c>
      <c r="C41" s="166">
        <f>BeamZ-[0]!Charge_Qmean(Energy2,BeamZ,$A41,C$5)</f>
        <v>4.2860000000000014</v>
      </c>
      <c r="D41" s="166">
        <f>BeamZ-[0]!Charge_Qmean(Energy2,BeamZ,$A41,D$5)</f>
        <v>4.7939999999999969</v>
      </c>
      <c r="E41" s="166">
        <f>BeamZ-[0]!Charge_Qmean(Energy2,BeamZ,$A41,E$5)</f>
        <v>1.7480000000000047</v>
      </c>
      <c r="F41" s="167">
        <f>BeamZ-[0]!Charge_Qmean(Energy2,BeamZ,$A41,F$5)</f>
        <v>1.5649999999999977</v>
      </c>
    </row>
    <row r="42" spans="1:6">
      <c r="A42" s="165">
        <v>28</v>
      </c>
      <c r="B42" s="166">
        <f>BeamZ-[0]!Charge_Qmean(Energy2,BeamZ,$A42,B$5)</f>
        <v>2.1569999999999965</v>
      </c>
      <c r="C42" s="166">
        <f>BeamZ-[0]!Charge_Qmean(Energy2,BeamZ,$A42,C$5)</f>
        <v>4.6500000000000057</v>
      </c>
      <c r="D42" s="166">
        <f>BeamZ-[0]!Charge_Qmean(Energy2,BeamZ,$A42,D$5)</f>
        <v>5.9609999999999985</v>
      </c>
      <c r="E42" s="166">
        <f>BeamZ-[0]!Charge_Qmean(Energy2,BeamZ,$A42,E$5)</f>
        <v>1.8910000000000053</v>
      </c>
      <c r="F42" s="167">
        <f>BeamZ-[0]!Charge_Qmean(Energy2,BeamZ,$A42,F$5)</f>
        <v>1.8449999999999989</v>
      </c>
    </row>
    <row r="43" spans="1:6">
      <c r="A43" s="165">
        <v>29</v>
      </c>
      <c r="B43" s="166">
        <f>BeamZ-[0]!Charge_Qmean(Energy2,BeamZ,$A43,B$5)</f>
        <v>2.171999999999997</v>
      </c>
      <c r="C43" s="166">
        <f>BeamZ-[0]!Charge_Qmean(Energy2,BeamZ,$A43,C$5)</f>
        <v>4.6850000000000023</v>
      </c>
      <c r="D43" s="166">
        <f>BeamZ-[0]!Charge_Qmean(Energy2,BeamZ,$A43,D$5)</f>
        <v>6.1219999999999999</v>
      </c>
      <c r="E43" s="166">
        <f>BeamZ-[0]!Charge_Qmean(Energy2,BeamZ,$A43,E$5)</f>
        <v>1.909000000000006</v>
      </c>
      <c r="F43" s="167">
        <f>BeamZ-[0]!Charge_Qmean(Energy2,BeamZ,$A43,F$5)</f>
        <v>1.8880000000000052</v>
      </c>
    </row>
    <row r="44" spans="1:6">
      <c r="A44" s="165">
        <v>32</v>
      </c>
      <c r="B44" s="166">
        <f>BeamZ-[0]!Charge_Qmean(Energy2,BeamZ,$A44,B$5)</f>
        <v>2.2139999999999986</v>
      </c>
      <c r="C44" s="166">
        <f>BeamZ-[0]!Charge_Qmean(Energy2,BeamZ,$A44,C$5)</f>
        <v>4.7609999999999957</v>
      </c>
      <c r="D44" s="166">
        <f>BeamZ-[0]!Charge_Qmean(Energy2,BeamZ,$A44,D$5)</f>
        <v>6.5480000000000018</v>
      </c>
      <c r="E44" s="166">
        <f>BeamZ-[0]!Charge_Qmean(Energy2,BeamZ,$A44,E$5)</f>
        <v>1.9300000000000068</v>
      </c>
      <c r="F44" s="167">
        <f>BeamZ-[0]!Charge_Qmean(Energy2,BeamZ,$A44,F$5)</f>
        <v>2.0130000000000052</v>
      </c>
    </row>
    <row r="45" spans="1:6">
      <c r="A45" s="165">
        <v>36</v>
      </c>
      <c r="B45" s="166">
        <f>BeamZ-[0]!Charge_Qmean(Energy2,BeamZ,$A45,B$5)</f>
        <v>2.2590000000000003</v>
      </c>
      <c r="C45" s="166">
        <f>BeamZ-[0]!Charge_Qmean(Energy2,BeamZ,$A45,C$5)</f>
        <v>4.820999999999998</v>
      </c>
      <c r="D45" s="166">
        <f>BeamZ-[0]!Charge_Qmean(Energy2,BeamZ,$A45,D$5)</f>
        <v>6.9819999999999993</v>
      </c>
      <c r="E45" s="166">
        <f>BeamZ-[0]!Charge_Qmean(Energy2,BeamZ,$A45,E$5)</f>
        <v>2.242999999999995</v>
      </c>
      <c r="F45" s="167">
        <f>BeamZ-[0]!Charge_Qmean(Energy2,BeamZ,$A45,F$5)</f>
        <v>2.1680000000000064</v>
      </c>
    </row>
    <row r="46" spans="1:6">
      <c r="A46" s="165">
        <v>47</v>
      </c>
      <c r="B46" s="166">
        <f>BeamZ-[0]!Charge_Qmean(Energy2,BeamZ,$A46,B$5)</f>
        <v>2.3430000000000035</v>
      </c>
      <c r="C46" s="166">
        <f>BeamZ-[0]!Charge_Qmean(Energy2,BeamZ,$A46,C$5)</f>
        <v>4.8760000000000048</v>
      </c>
      <c r="D46" s="166">
        <f>BeamZ-[0]!Charge_Qmean(Energy2,BeamZ,$A46,D$5)</f>
        <v>7.3880000000000052</v>
      </c>
      <c r="E46" s="166">
        <f>BeamZ-[0]!Charge_Qmean(Energy2,BeamZ,$A46,E$5)</f>
        <v>2.0280000000000058</v>
      </c>
      <c r="F46" s="167">
        <f>BeamZ-[0]!Charge_Qmean(Energy2,BeamZ,$A46,F$5)</f>
        <v>2.546999999999997</v>
      </c>
    </row>
    <row r="47" spans="1:6">
      <c r="A47" s="165">
        <v>54</v>
      </c>
      <c r="B47" s="166">
        <f>BeamZ-[0]!Charge_Qmean(Energy2,BeamZ,$A47,B$5)</f>
        <v>2.3730000000000047</v>
      </c>
      <c r="C47" s="166">
        <f>BeamZ-[0]!Charge_Qmean(Energy2,BeamZ,$A47,C$5)</f>
        <v>4.8840000000000003</v>
      </c>
      <c r="D47" s="166">
        <f>BeamZ-[0]!Charge_Qmean(Energy2,BeamZ,$A47,D$5)</f>
        <v>7.0450000000000017</v>
      </c>
      <c r="E47" s="166">
        <f>BeamZ-[0]!Charge_Qmean(Energy2,BeamZ,$A47,E$5)</f>
        <v>2.2180000000000035</v>
      </c>
      <c r="F47" s="167">
        <f>BeamZ-[0]!Charge_Qmean(Energy2,BeamZ,$A47,F$5)</f>
        <v>2.7590000000000003</v>
      </c>
    </row>
    <row r="48" spans="1:6">
      <c r="A48" s="165">
        <v>63</v>
      </c>
      <c r="B48" s="166">
        <f>BeamZ-[0]!Charge_Qmean(Energy2,BeamZ,$A48,B$5)</f>
        <v>2.3960000000000008</v>
      </c>
      <c r="C48" s="166">
        <f>BeamZ-[0]!Charge_Qmean(Energy2,BeamZ,$A48,C$5)</f>
        <v>4.8870000000000005</v>
      </c>
      <c r="D48" s="166">
        <f>BeamZ-[0]!Charge_Qmean(Energy2,BeamZ,$A48,D$5)</f>
        <v>5.9159999999999968</v>
      </c>
      <c r="E48" s="166">
        <f>BeamZ-[0]!Charge_Qmean(Energy2,BeamZ,$A48,E$5)</f>
        <v>2.0720000000000027</v>
      </c>
      <c r="F48" s="167">
        <f>BeamZ-[0]!Charge_Qmean(Energy2,BeamZ,$A48,F$5)</f>
        <v>3.007000000000005</v>
      </c>
    </row>
    <row r="49" spans="1:6">
      <c r="A49" s="165">
        <v>73</v>
      </c>
      <c r="B49" s="166">
        <f>BeamZ-[0]!Charge_Qmean(Energy2,BeamZ,$A49,B$5)</f>
        <v>2.4050000000000011</v>
      </c>
      <c r="C49" s="166">
        <f>BeamZ-[0]!Charge_Qmean(Energy2,BeamZ,$A49,C$5)</f>
        <v>4.8880000000000052</v>
      </c>
      <c r="D49" s="166">
        <f>BeamZ-[0]!Charge_Qmean(Energy2,BeamZ,$A49,D$5)</f>
        <v>3.7530000000000001</v>
      </c>
      <c r="E49" s="166">
        <f>BeamZ-[0]!Charge_Qmean(Energy2,BeamZ,$A49,E$5)</f>
        <v>2.0630000000000024</v>
      </c>
      <c r="F49" s="167">
        <f>BeamZ-[0]!Charge_Qmean(Energy2,BeamZ,$A49,F$5)</f>
        <v>3.2560000000000002</v>
      </c>
    </row>
    <row r="50" spans="1:6">
      <c r="A50" s="165">
        <v>74</v>
      </c>
      <c r="B50" s="166">
        <f>BeamZ-[0]!Charge_Qmean(Energy2,BeamZ,$A50,B$5)</f>
        <v>2.4050000000000011</v>
      </c>
      <c r="C50" s="166">
        <f>BeamZ-[0]!Charge_Qmean(Energy2,BeamZ,$A50,C$5)</f>
        <v>4.8880000000000052</v>
      </c>
      <c r="D50" s="166">
        <f>BeamZ-[0]!Charge_Qmean(Energy2,BeamZ,$A50,D$5)</f>
        <v>3.4849999999999994</v>
      </c>
      <c r="E50" s="166">
        <f>BeamZ-[0]!Charge_Qmean(Energy2,BeamZ,$A50,E$5)</f>
        <v>2.0600000000000023</v>
      </c>
      <c r="F50" s="167">
        <f>BeamZ-[0]!Charge_Qmean(Energy2,BeamZ,$A50,F$5)</f>
        <v>3.2800000000000011</v>
      </c>
    </row>
    <row r="51" spans="1:6">
      <c r="A51" s="165">
        <v>79</v>
      </c>
      <c r="B51" s="166">
        <f>BeamZ-[0]!Charge_Qmean(Energy2,BeamZ,$A51,B$5)</f>
        <v>2.4039999999999964</v>
      </c>
      <c r="C51" s="166">
        <f>BeamZ-[0]!Charge_Qmean(Energy2,BeamZ,$A51,C$5)</f>
        <v>4.8880000000000052</v>
      </c>
      <c r="D51" s="166">
        <f>BeamZ-[0]!Charge_Qmean(Energy2,BeamZ,$A51,D$5)</f>
        <v>1.9980000000000047</v>
      </c>
      <c r="E51" s="166">
        <f>BeamZ-[0]!Charge_Qmean(Energy2,BeamZ,$A51,E$5)</f>
        <v>2.0439999999999969</v>
      </c>
      <c r="F51" s="167">
        <f>BeamZ-[0]!Charge_Qmean(Energy2,BeamZ,$A51,F$5)</f>
        <v>3.394999999999996</v>
      </c>
    </row>
    <row r="52" spans="1:6">
      <c r="A52" s="165">
        <v>82</v>
      </c>
      <c r="B52" s="166">
        <f>BeamZ-[0]!Charge_Qmean(Energy2,BeamZ,$A52,B$5)</f>
        <v>2.4030000000000058</v>
      </c>
      <c r="C52" s="166">
        <f>BeamZ-[0]!Charge_Qmean(Energy2,BeamZ,$A52,C$5)</f>
        <v>4.8880000000000052</v>
      </c>
      <c r="D52" s="166">
        <f>BeamZ-[0]!Charge_Qmean(Energy2,BeamZ,$A52,D$5)</f>
        <v>0.99099999999999966</v>
      </c>
      <c r="E52" s="166">
        <f>BeamZ-[0]!Charge_Qmean(Energy2,BeamZ,$A52,E$5)</f>
        <v>2.0319999999999965</v>
      </c>
      <c r="F52" s="167">
        <f>BeamZ-[0]!Charge_Qmean(Energy2,BeamZ,$A52,F$5)</f>
        <v>3.4609999999999985</v>
      </c>
    </row>
    <row r="53" spans="1:6">
      <c r="A53" s="165">
        <v>92</v>
      </c>
      <c r="B53" s="166">
        <f>BeamZ-[0]!Charge_Qmean(Energy2,BeamZ,$A53,B$5)</f>
        <v>2.3930000000000007</v>
      </c>
      <c r="C53" s="166">
        <f>BeamZ-[0]!Charge_Qmean(Energy2,BeamZ,$A53,C$5)</f>
        <v>4.8880000000000052</v>
      </c>
      <c r="D53" s="166">
        <f>BeamZ-[0]!Charge_Qmean(Energy2,BeamZ,$A53,D$5)</f>
        <v>0</v>
      </c>
      <c r="E53" s="166">
        <f>BeamZ-[0]!Charge_Qmean(Energy2,BeamZ,$A53,E$5)</f>
        <v>2.0829999999999984</v>
      </c>
      <c r="F53" s="167">
        <f>BeamZ-[0]!Charge_Qmean(Energy2,BeamZ,$A53,F$5)</f>
        <v>3.6710000000000065</v>
      </c>
    </row>
    <row r="54" spans="1:6">
      <c r="A54" s="165"/>
      <c r="B54" s="166"/>
      <c r="C54" s="166"/>
      <c r="D54" s="166"/>
      <c r="E54" s="166"/>
      <c r="F54" s="167"/>
    </row>
    <row r="55" spans="1:6">
      <c r="A55" s="165"/>
      <c r="B55" s="166"/>
      <c r="C55" s="166"/>
      <c r="D55" s="166"/>
      <c r="E55" s="166"/>
      <c r="F55" s="167"/>
    </row>
    <row r="56" spans="1:6">
      <c r="A56" s="165"/>
      <c r="B56" s="166"/>
      <c r="C56" s="166"/>
      <c r="D56" s="166"/>
      <c r="E56" s="166"/>
      <c r="F56" s="167"/>
    </row>
    <row r="57" spans="1:6">
      <c r="A57" s="165"/>
      <c r="B57" s="166"/>
      <c r="C57" s="166"/>
      <c r="D57" s="166"/>
      <c r="E57" s="166"/>
      <c r="F57" s="167"/>
    </row>
    <row r="58" spans="1:6">
      <c r="A58" s="165"/>
      <c r="B58" s="166"/>
      <c r="C58" s="166"/>
      <c r="D58" s="166"/>
      <c r="E58" s="166"/>
      <c r="F58" s="167"/>
    </row>
    <row r="59" spans="1:6">
      <c r="A59" s="168"/>
      <c r="B59" s="169"/>
      <c r="C59" s="169"/>
      <c r="D59" s="169"/>
      <c r="E59" s="169"/>
      <c r="F59" s="170"/>
    </row>
  </sheetData>
  <sheetProtection password="CA15" sheet="1" objects="1" scenarios="1"/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O64"/>
  <sheetViews>
    <sheetView showGridLines="0" showRowColHeader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B2" sqref="B2"/>
    </sheetView>
  </sheetViews>
  <sheetFormatPr defaultRowHeight="15"/>
  <cols>
    <col min="1" max="1" width="29.85546875" style="304" customWidth="1"/>
    <col min="2" max="2" width="9.5703125" style="302" bestFit="1" customWidth="1"/>
    <col min="3" max="3" width="9.140625" style="303"/>
    <col min="4" max="4" width="14" style="302" customWidth="1"/>
    <col min="5" max="5" width="13.85546875" style="302" customWidth="1"/>
    <col min="6" max="6" width="10.7109375" style="302" customWidth="1"/>
    <col min="7" max="7" width="13.140625" style="302" customWidth="1"/>
    <col min="8" max="9" width="10" style="302" customWidth="1"/>
    <col min="10" max="11" width="8.140625" style="302" customWidth="1"/>
    <col min="12" max="13" width="6.42578125" style="302" customWidth="1"/>
    <col min="14" max="16" width="9.5703125" style="302" hidden="1" customWidth="1"/>
    <col min="17" max="17" width="11.7109375" style="302" hidden="1" customWidth="1"/>
    <col min="18" max="18" width="11.85546875" style="302" hidden="1" customWidth="1"/>
    <col min="19" max="21" width="10.5703125" style="302" hidden="1" customWidth="1"/>
    <col min="22" max="23" width="9.140625" style="302" hidden="1" customWidth="1"/>
    <col min="24" max="24" width="13" style="302" customWidth="1"/>
    <col min="25" max="25" width="9.140625" style="302"/>
    <col min="26" max="26" width="3.28515625" style="302" customWidth="1"/>
    <col min="27" max="27" width="9.140625" style="302"/>
    <col min="28" max="28" width="9.140625" style="302" customWidth="1"/>
    <col min="29" max="29" width="29.85546875" style="304" hidden="1" customWidth="1"/>
    <col min="30" max="30" width="9.5703125" style="302" hidden="1" customWidth="1"/>
    <col min="31" max="34" width="9.140625" style="302" hidden="1" customWidth="1"/>
    <col min="35" max="36" width="9.140625" style="302" customWidth="1"/>
    <col min="37" max="16384" width="9.140625" style="302"/>
  </cols>
  <sheetData>
    <row r="1" spans="1:41" ht="18.75">
      <c r="A1" s="459" t="s">
        <v>717</v>
      </c>
      <c r="B1" s="459"/>
      <c r="E1" s="459" t="s">
        <v>709</v>
      </c>
      <c r="F1" s="459"/>
      <c r="G1" s="459"/>
      <c r="X1" s="391" t="s">
        <v>714</v>
      </c>
      <c r="Y1" s="390">
        <v>3.1071295779999999</v>
      </c>
      <c r="Z1" s="389"/>
      <c r="AC1" s="459" t="s">
        <v>717</v>
      </c>
      <c r="AD1" s="459"/>
      <c r="AM1"/>
      <c r="AN1"/>
    </row>
    <row r="2" spans="1:41">
      <c r="A2" s="385" t="s">
        <v>716</v>
      </c>
      <c r="B2" s="384">
        <v>36</v>
      </c>
      <c r="E2" s="385"/>
      <c r="F2" s="385" t="s">
        <v>313</v>
      </c>
      <c r="G2" s="380">
        <v>80</v>
      </c>
      <c r="H2" s="303" t="s">
        <v>160</v>
      </c>
      <c r="X2" s="388" t="s">
        <v>712</v>
      </c>
      <c r="Y2" s="387">
        <v>2</v>
      </c>
      <c r="Z2" s="386"/>
      <c r="AC2" s="412" t="s">
        <v>800</v>
      </c>
      <c r="AD2" s="358">
        <f>+A+dA_shift</f>
        <v>38</v>
      </c>
      <c r="AM2"/>
      <c r="AN2"/>
    </row>
    <row r="3" spans="1:41">
      <c r="A3" s="385" t="s">
        <v>715</v>
      </c>
      <c r="B3" s="384">
        <v>20</v>
      </c>
      <c r="E3" s="385"/>
      <c r="F3" s="385" t="s">
        <v>708</v>
      </c>
      <c r="G3" s="381">
        <v>45</v>
      </c>
      <c r="H3" s="303" t="s">
        <v>230</v>
      </c>
      <c r="X3" s="388" t="s">
        <v>799</v>
      </c>
      <c r="Y3" s="387">
        <v>2</v>
      </c>
      <c r="Z3" s="386"/>
      <c r="AC3" s="412" t="s">
        <v>809</v>
      </c>
      <c r="AD3" s="358">
        <f>+Z</f>
        <v>20</v>
      </c>
      <c r="AM3"/>
      <c r="AN3"/>
    </row>
    <row r="4" spans="1:41" ht="15.75" customHeight="1">
      <c r="A4" s="385" t="s">
        <v>652</v>
      </c>
      <c r="B4" s="384">
        <f>+Z</f>
        <v>20</v>
      </c>
      <c r="D4" s="304"/>
      <c r="E4" s="385"/>
      <c r="F4" s="385" t="s">
        <v>707</v>
      </c>
      <c r="G4" s="384">
        <v>14</v>
      </c>
      <c r="H4" s="303"/>
      <c r="AC4" s="412" t="s">
        <v>810</v>
      </c>
      <c r="AD4" s="358">
        <f>+q</f>
        <v>20</v>
      </c>
      <c r="AM4"/>
      <c r="AN4"/>
    </row>
    <row r="5" spans="1:41" ht="15.75" customHeight="1">
      <c r="A5" s="340" t="s">
        <v>713</v>
      </c>
      <c r="B5" s="370">
        <f>MassIsotope(Z,A)</f>
        <v>35.993085999999998</v>
      </c>
      <c r="D5" s="304"/>
      <c r="E5" s="385"/>
      <c r="F5" s="385" t="s">
        <v>706</v>
      </c>
      <c r="G5" s="384">
        <v>40</v>
      </c>
      <c r="H5" s="303" t="s">
        <v>140</v>
      </c>
      <c r="I5" s="383">
        <f>Mg2Mkm(_1st_Z__detector_thickness,_1st_Z__detector_material)</f>
        <v>172.32465965879715</v>
      </c>
      <c r="J5" s="303" t="s">
        <v>705</v>
      </c>
      <c r="AC5" s="410" t="s">
        <v>801</v>
      </c>
      <c r="AD5" s="349">
        <f>MassIsotope(Z_2,A_2)</f>
        <v>37.976317999999999</v>
      </c>
      <c r="AM5"/>
      <c r="AN5"/>
    </row>
    <row r="6" spans="1:41" ht="15.75" customHeight="1">
      <c r="A6" s="340" t="s">
        <v>711</v>
      </c>
      <c r="B6" s="370">
        <f>MassIon(Z,A,q)</f>
        <v>35.982114402189673</v>
      </c>
      <c r="AC6" s="410" t="s">
        <v>802</v>
      </c>
      <c r="AD6" s="349">
        <f>MassIon(Z_2,A_2,q_2)</f>
        <v>37.965346402189674</v>
      </c>
      <c r="AM6"/>
      <c r="AN6"/>
    </row>
    <row r="7" spans="1:41" ht="15.75" customHeight="1">
      <c r="A7" s="340" t="s">
        <v>710</v>
      </c>
      <c r="B7" s="368">
        <f>+M_ion/q</f>
        <v>1.7991057201094836</v>
      </c>
      <c r="G7" s="304"/>
      <c r="H7" s="379"/>
      <c r="AC7" s="410" t="s">
        <v>803</v>
      </c>
      <c r="AD7" s="368">
        <f>+M_ion_2/q_2</f>
        <v>1.8982673201094837</v>
      </c>
      <c r="AM7"/>
      <c r="AN7"/>
    </row>
    <row r="8" spans="1:41">
      <c r="E8" s="303"/>
      <c r="AC8" s="412" t="s">
        <v>808</v>
      </c>
      <c r="AD8" s="380">
        <f>Brho2Energy(Brho,M_ion_2,q_2)</f>
        <v>72.151674505608469</v>
      </c>
      <c r="AE8" s="303" t="s">
        <v>160</v>
      </c>
      <c r="AM8" s="411"/>
      <c r="AN8" s="411"/>
      <c r="AO8" s="411"/>
    </row>
    <row r="9" spans="1:41" ht="18.75">
      <c r="A9" s="459" t="s">
        <v>704</v>
      </c>
      <c r="B9" s="459"/>
      <c r="D9" s="322" t="s">
        <v>703</v>
      </c>
      <c r="E9" s="303"/>
      <c r="G9" s="459" t="s">
        <v>702</v>
      </c>
      <c r="H9" s="459"/>
      <c r="I9" s="459"/>
      <c r="J9" s="459"/>
      <c r="R9" s="415" t="s">
        <v>818</v>
      </c>
      <c r="S9" s="327" t="s">
        <v>679</v>
      </c>
      <c r="T9" s="327" t="s">
        <v>678</v>
      </c>
      <c r="U9" s="328"/>
      <c r="AC9"/>
      <c r="AD9"/>
      <c r="AM9" s="322"/>
      <c r="AN9" s="426"/>
      <c r="AO9" s="426"/>
    </row>
    <row r="10" spans="1:41">
      <c r="B10" s="302" t="s">
        <v>701</v>
      </c>
      <c r="D10" s="382" t="s">
        <v>700</v>
      </c>
      <c r="E10" s="303"/>
      <c r="R10" s="319"/>
      <c r="S10" s="311">
        <f>+brho_up/beta_2/gamma_2/coef_Aq</f>
        <v>1.9011034497896702</v>
      </c>
      <c r="T10" s="311">
        <f>+Brho/betaS_up/gammaS_up/coef_Aq</f>
        <v>1.8933333147411391</v>
      </c>
      <c r="U10" s="317"/>
      <c r="AC10" s="404" t="s">
        <v>813</v>
      </c>
      <c r="AD10" s="405">
        <f>+A/q</f>
        <v>1.8</v>
      </c>
    </row>
    <row r="11" spans="1:41">
      <c r="A11" s="377" t="s">
        <v>690</v>
      </c>
      <c r="B11" s="381">
        <v>0.5</v>
      </c>
      <c r="C11" s="303" t="s">
        <v>200</v>
      </c>
      <c r="D11" s="376">
        <v>0.01</v>
      </c>
      <c r="E11" s="303" t="s">
        <v>132</v>
      </c>
      <c r="G11" s="377"/>
      <c r="H11" s="377"/>
      <c r="I11" s="377" t="s">
        <v>699</v>
      </c>
      <c r="J11" s="378">
        <v>1</v>
      </c>
      <c r="K11" s="375" t="s">
        <v>694</v>
      </c>
      <c r="R11" s="319"/>
      <c r="S11" s="318" t="s">
        <v>674</v>
      </c>
      <c r="T11" s="321" t="s">
        <v>674</v>
      </c>
      <c r="U11" s="320" t="s">
        <v>673</v>
      </c>
      <c r="AC11"/>
      <c r="AD11"/>
    </row>
    <row r="12" spans="1:41">
      <c r="A12" s="377" t="s">
        <v>698</v>
      </c>
      <c r="B12" s="380">
        <v>0.4</v>
      </c>
      <c r="C12" s="303" t="s">
        <v>132</v>
      </c>
      <c r="D12" s="401">
        <f>+straggling/E1_loss*100</f>
        <v>1.1031581970567936</v>
      </c>
      <c r="E12" s="303" t="s">
        <v>788</v>
      </c>
      <c r="G12" s="377"/>
      <c r="H12" s="377"/>
      <c r="I12" s="377" t="s">
        <v>697</v>
      </c>
      <c r="J12" s="378">
        <v>2</v>
      </c>
      <c r="K12" s="375"/>
      <c r="R12" s="319"/>
      <c r="S12" s="364">
        <f>+ABS(S10-Aq_2)/A_q</f>
        <v>1.5764107959231929E-3</v>
      </c>
      <c r="T12" s="364">
        <f>+ABS(T10-Aq_2)/A_q</f>
        <v>2.7424766166843509E-3</v>
      </c>
      <c r="U12" s="363">
        <f>+SQRT(SUMSQ(S12:T12))</f>
        <v>3.1632655580212735E-3</v>
      </c>
      <c r="AC12"/>
      <c r="AD12"/>
    </row>
    <row r="13" spans="1:41">
      <c r="A13" s="377" t="s">
        <v>202</v>
      </c>
      <c r="B13" s="380">
        <v>0.3</v>
      </c>
      <c r="C13" s="303" t="s">
        <v>132</v>
      </c>
      <c r="D13" s="402">
        <v>0.1</v>
      </c>
      <c r="E13" s="303" t="s">
        <v>132</v>
      </c>
      <c r="G13" s="377"/>
      <c r="H13" s="377"/>
      <c r="I13" s="377" t="s">
        <v>696</v>
      </c>
      <c r="J13" s="378">
        <v>15</v>
      </c>
      <c r="K13" s="375" t="s">
        <v>246</v>
      </c>
      <c r="O13" s="341">
        <f>+O26/ABS(A_q-Aq_2)*100</f>
        <v>4.0564421752050022</v>
      </c>
      <c r="P13" s="341">
        <f>+P26/ABS(A_q-Aq_2)*100</f>
        <v>5.9415294030890884</v>
      </c>
      <c r="Q13" s="416">
        <f>+SQRT(SUMSQ(O13:P13))</f>
        <v>7.1941986884262557</v>
      </c>
      <c r="AC13"/>
      <c r="AD13"/>
    </row>
    <row r="14" spans="1:41">
      <c r="A14" s="377" t="s">
        <v>654</v>
      </c>
      <c r="B14" s="379"/>
      <c r="D14" s="376">
        <v>0.2</v>
      </c>
      <c r="E14" s="303" t="s">
        <v>132</v>
      </c>
      <c r="G14" s="377"/>
      <c r="H14" s="377"/>
      <c r="I14" s="377" t="s">
        <v>695</v>
      </c>
      <c r="J14" s="378">
        <v>1</v>
      </c>
      <c r="K14" s="375" t="s">
        <v>694</v>
      </c>
      <c r="AC14"/>
      <c r="AD14"/>
    </row>
    <row r="15" spans="1:41">
      <c r="A15" s="377" t="s">
        <v>693</v>
      </c>
      <c r="B15" s="349">
        <f>+Momentum_Resolution</f>
        <v>0.14907119849998599</v>
      </c>
      <c r="C15" s="303" t="s">
        <v>132</v>
      </c>
      <c r="D15" s="376">
        <v>0.01</v>
      </c>
      <c r="E15" s="303" t="s">
        <v>132</v>
      </c>
      <c r="G15" s="340"/>
      <c r="H15" s="340"/>
      <c r="I15" s="340" t="s">
        <v>692</v>
      </c>
      <c r="J15" s="349">
        <f>+SQRT(SUMSQ(Detector_resolution,X_magnification___disp.plane*X_image_at_target))/X_dispersion</f>
        <v>0.14907119849998599</v>
      </c>
      <c r="K15" s="375" t="s">
        <v>132</v>
      </c>
      <c r="O15" s="427" t="s">
        <v>824</v>
      </c>
      <c r="P15" s="428">
        <f>Beta2Gamma(beta+D24)</f>
        <v>1.0861370903084238</v>
      </c>
      <c r="Q15" s="328">
        <f>+ABS(P15-P16)/2</f>
        <v>2.5330475109142103E-4</v>
      </c>
      <c r="AC15"/>
      <c r="AD15"/>
    </row>
    <row r="16" spans="1:41">
      <c r="O16" s="429" t="s">
        <v>825</v>
      </c>
      <c r="P16" s="430">
        <f>Beta2Gamma(beta-D24)</f>
        <v>1.0856304808062409</v>
      </c>
      <c r="Q16" s="431"/>
    </row>
    <row r="17" spans="1:33" ht="18.75">
      <c r="A17" s="459" t="s">
        <v>691</v>
      </c>
      <c r="B17" s="459"/>
      <c r="D17" s="362" t="s">
        <v>659</v>
      </c>
      <c r="E17" s="362" t="s">
        <v>132</v>
      </c>
      <c r="O17" s="400" t="s">
        <v>789</v>
      </c>
      <c r="P17" s="302">
        <f>StragglingEnergy(Z,A,Energy,_1st_Z__detector_material,_1st_Z__detector_thickness)*M_isotope</f>
        <v>1.2237649239999999</v>
      </c>
      <c r="U17" s="411" t="s">
        <v>817</v>
      </c>
      <c r="V17" s="411" t="s">
        <v>816</v>
      </c>
      <c r="AC17" s="459" t="s">
        <v>691</v>
      </c>
      <c r="AD17" s="459"/>
    </row>
    <row r="18" spans="1:33">
      <c r="A18" s="340" t="s">
        <v>690</v>
      </c>
      <c r="B18" s="349">
        <f>+Flight_Length/c_speed/beta</f>
        <v>385.1186743846219</v>
      </c>
      <c r="C18" s="303" t="s">
        <v>689</v>
      </c>
      <c r="D18" s="348">
        <f>+SQRT(SUMSQ(re_TOF,se_TOF*m_TOF/100))</f>
        <v>0.50148097065950337</v>
      </c>
      <c r="E18" s="348">
        <f>+D18/m_TOF*100</f>
        <v>0.13021465953600297</v>
      </c>
      <c r="O18" s="302" t="s">
        <v>688</v>
      </c>
      <c r="P18" s="374">
        <f>+Brho+D19</f>
        <v>2.3695419642694118</v>
      </c>
      <c r="U18" s="302">
        <f>+beta_2*beta_2</f>
        <v>0.13861105589121853</v>
      </c>
      <c r="V18" s="302">
        <f>+U20*U20</f>
        <v>0.1389722747471665</v>
      </c>
      <c r="AC18" s="410" t="s">
        <v>811</v>
      </c>
      <c r="AD18" s="349">
        <f>+Flight_Length/c_speed/beta</f>
        <v>385.1186743846219</v>
      </c>
    </row>
    <row r="19" spans="1:33">
      <c r="A19" s="340" t="s">
        <v>687</v>
      </c>
      <c r="B19" s="349">
        <f>Energy2Brho(Energy,M_ion,q)</f>
        <v>2.3660070023534474</v>
      </c>
      <c r="C19" s="303" t="s">
        <v>686</v>
      </c>
      <c r="D19" s="348">
        <f>+Brho*E19/100</f>
        <v>3.5349619159645461E-3</v>
      </c>
      <c r="E19" s="348">
        <f>+SQRT(SUMSQ(re_Brho,se_Brho))</f>
        <v>0.14940623220676646</v>
      </c>
      <c r="O19" s="302" t="s">
        <v>685</v>
      </c>
      <c r="P19" s="373">
        <f>+beta+D24</f>
        <v>0.39028501457226777</v>
      </c>
      <c r="R19" s="322" t="s">
        <v>198</v>
      </c>
      <c r="S19" s="302" t="s">
        <v>684</v>
      </c>
      <c r="U19" s="411" t="s">
        <v>814</v>
      </c>
      <c r="V19" s="411" t="s">
        <v>815</v>
      </c>
      <c r="AC19" s="340"/>
      <c r="AD19" s="349"/>
    </row>
    <row r="20" spans="1:33">
      <c r="A20" s="340" t="s">
        <v>683</v>
      </c>
      <c r="B20" s="339">
        <f>M_ion*(Energy-EnergyLossInMatter_option(Z,A,Energy,_1st_Z__detector_material,_1st_Z__detector_thickness,Eloss_option))</f>
        <v>110.93285870195071</v>
      </c>
      <c r="C20" s="303" t="s">
        <v>201</v>
      </c>
      <c r="D20" s="347">
        <f>+E20*E1_loss/100</f>
        <v>1.3017289178048232</v>
      </c>
      <c r="E20" s="348">
        <f>+SQRT(SUMSQ(re_Eloss,se_Eloss))</f>
        <v>1.1734385402455449</v>
      </c>
      <c r="O20" s="302" t="s">
        <v>682</v>
      </c>
      <c r="P20" s="373">
        <f>+gamma+D25</f>
        <v>1.086136836755704</v>
      </c>
      <c r="R20" s="322">
        <f>+beta*beta</f>
        <v>0.15192647391380631</v>
      </c>
      <c r="S20" s="302">
        <f>+beta_up*beta_up</f>
        <v>0.15232239259967528</v>
      </c>
      <c r="U20" s="302">
        <f>+beta_2*(1+E24/100)</f>
        <v>0.3727898533318289</v>
      </c>
      <c r="V20" s="302">
        <f>+gamma_2*(1+E24/100)</f>
        <v>1.078861016359228</v>
      </c>
      <c r="AC20" s="340"/>
      <c r="AD20" s="339"/>
    </row>
    <row r="21" spans="1:33">
      <c r="A21" s="340" t="s">
        <v>202</v>
      </c>
      <c r="B21" s="339">
        <f>+M_ion*Energy</f>
        <v>2878.5691521751737</v>
      </c>
      <c r="C21" s="303" t="s">
        <v>201</v>
      </c>
      <c r="D21" s="347">
        <f>+me_TKE*TKE/100</f>
        <v>9.1028349231733845</v>
      </c>
      <c r="E21" s="348">
        <f>+SQRT(SUMSQ(re_TKE,se_TKE))</f>
        <v>0.31622776601683794</v>
      </c>
      <c r="O21" s="302" t="s">
        <v>681</v>
      </c>
      <c r="P21" s="372">
        <f>+TKE+D21</f>
        <v>2887.671987098347</v>
      </c>
      <c r="AC21" s="340"/>
      <c r="AD21" s="339"/>
    </row>
    <row r="22" spans="1:33">
      <c r="D22" s="371"/>
      <c r="E22" s="371"/>
    </row>
    <row r="23" spans="1:33" ht="18.75">
      <c r="A23" s="459" t="s">
        <v>680</v>
      </c>
      <c r="B23" s="459"/>
      <c r="D23" s="362" t="s">
        <v>659</v>
      </c>
      <c r="E23" s="362" t="s">
        <v>132</v>
      </c>
      <c r="R23" s="329" t="s">
        <v>666</v>
      </c>
      <c r="S23" s="327" t="s">
        <v>679</v>
      </c>
      <c r="T23" s="327" t="s">
        <v>678</v>
      </c>
      <c r="U23" s="328"/>
      <c r="W23" s="322"/>
      <c r="AC23" s="459" t="s">
        <v>680</v>
      </c>
      <c r="AD23" s="459"/>
      <c r="AF23" s="362" t="s">
        <v>659</v>
      </c>
      <c r="AG23" s="362" t="s">
        <v>132</v>
      </c>
    </row>
    <row r="24" spans="1:33">
      <c r="A24" s="340" t="s">
        <v>677</v>
      </c>
      <c r="B24" s="370">
        <f>+Energy2Beta(Energy)</f>
        <v>0.3897774671704437</v>
      </c>
      <c r="D24" s="367">
        <f>+me_TOF*beta/100</f>
        <v>5.0754740182404898E-4</v>
      </c>
      <c r="E24" s="348">
        <f>+me_TOF</f>
        <v>0.13021465953600297</v>
      </c>
      <c r="O24" s="424">
        <f>+d_AoQ_1*G27/$E27*100</f>
        <v>2.6879760698319544E-3</v>
      </c>
      <c r="P24" s="424">
        <f>+d_AoQ_1*H27/$E27*100</f>
        <v>2.758687846696084E-3</v>
      </c>
      <c r="Q24" s="423" t="s">
        <v>821</v>
      </c>
      <c r="R24" s="319"/>
      <c r="S24" s="311">
        <f>+brho_up/beta/gamma/coef_Aq</f>
        <v>1.8017936961793155</v>
      </c>
      <c r="T24" s="311">
        <f>+Brho/beta_up/gamma_up/coef_Aq</f>
        <v>1.7963470322627875</v>
      </c>
      <c r="U24" s="317"/>
      <c r="AC24" s="410" t="s">
        <v>804</v>
      </c>
      <c r="AD24" s="370">
        <f>+Energy2Beta(Energy_2)</f>
        <v>0.37230505756868054</v>
      </c>
      <c r="AF24" s="367">
        <f>+me_TOF*beta_2/100</f>
        <v>4.8479576314837722E-4</v>
      </c>
      <c r="AG24" s="348">
        <f>+me_TOF</f>
        <v>0.13021465953600297</v>
      </c>
    </row>
    <row r="25" spans="1:33">
      <c r="A25" s="340" t="s">
        <v>676</v>
      </c>
      <c r="B25" s="370">
        <f>Beta2Gamma(beta)</f>
        <v>1.0858835320046125</v>
      </c>
      <c r="D25" s="367">
        <f>+Q15</f>
        <v>2.5330475109142103E-4</v>
      </c>
      <c r="E25" s="348">
        <f>+D25/gamma*100</f>
        <v>2.3327064425022064E-2</v>
      </c>
      <c r="G25" s="460" t="s">
        <v>675</v>
      </c>
      <c r="H25" s="460"/>
      <c r="I25" s="460"/>
      <c r="J25" s="460"/>
      <c r="K25" s="460"/>
      <c r="L25" s="460"/>
      <c r="M25" s="460"/>
      <c r="O25" s="424">
        <f>+d_AoQ_2*G28/$E28*100</f>
        <v>2.9924490969687758E-3</v>
      </c>
      <c r="P25" s="424">
        <f>+d_AoQ_2*H28/$E28*100</f>
        <v>5.2059537376163232E-3</v>
      </c>
      <c r="Q25" s="423" t="s">
        <v>822</v>
      </c>
      <c r="R25" s="319"/>
      <c r="S25" s="318" t="s">
        <v>674</v>
      </c>
      <c r="T25" s="321" t="s">
        <v>674</v>
      </c>
      <c r="U25" s="320" t="s">
        <v>673</v>
      </c>
      <c r="AC25" s="410" t="s">
        <v>805</v>
      </c>
      <c r="AD25" s="370">
        <f>Beta2Gamma(beta_2)</f>
        <v>1.0774580080823601</v>
      </c>
      <c r="AF25" s="367">
        <f>+me_TOF*gamma_2/100</f>
        <v>1.4030082768678447E-3</v>
      </c>
      <c r="AG25" s="348">
        <f>+me_TOF</f>
        <v>0.13021465953600297</v>
      </c>
    </row>
    <row r="26" spans="1:33">
      <c r="A26" s="340" t="s">
        <v>672</v>
      </c>
      <c r="B26" s="349">
        <f>+c_speed*beta*100</f>
        <v>11.684709933088845</v>
      </c>
      <c r="C26" s="303" t="s">
        <v>671</v>
      </c>
      <c r="D26" s="367">
        <f>+velocity*E26/100</f>
        <v>1.521520525714116E-2</v>
      </c>
      <c r="E26" s="348">
        <f>+me_TOF</f>
        <v>0.13021465953600297</v>
      </c>
      <c r="G26" s="369" t="s">
        <v>670</v>
      </c>
      <c r="H26" s="369" t="s">
        <v>669</v>
      </c>
      <c r="I26" s="369" t="s">
        <v>203</v>
      </c>
      <c r="J26" s="369" t="s">
        <v>668</v>
      </c>
      <c r="K26" s="369" t="s">
        <v>667</v>
      </c>
      <c r="L26" s="369" t="s">
        <v>666</v>
      </c>
      <c r="M26" s="369" t="s">
        <v>33</v>
      </c>
      <c r="O26" s="322">
        <f>+SQRT(SUMSQ(O24:O25))</f>
        <v>4.0224329640080369E-3</v>
      </c>
      <c r="P26" s="322">
        <f>+SQRT(SUMSQ(P24:P25))</f>
        <v>5.8917156205735219E-3</v>
      </c>
      <c r="Q26" s="423" t="s">
        <v>823</v>
      </c>
      <c r="R26" s="319"/>
      <c r="S26" s="364">
        <f>+ABS(S24-A_q)/A_q</f>
        <v>1.4940623220676432E-3</v>
      </c>
      <c r="T26" s="364">
        <f>+ABS(T24-A_q)/A_q</f>
        <v>1.5333661695701827E-3</v>
      </c>
      <c r="U26" s="363">
        <f>+SQRT(SUMSQ(S26:T26))</f>
        <v>2.1408956145044749E-3</v>
      </c>
      <c r="AC26" s="410" t="s">
        <v>806</v>
      </c>
      <c r="AD26" s="349">
        <f>+c_speed*beta*100</f>
        <v>11.684709933088845</v>
      </c>
    </row>
    <row r="27" spans="1:33">
      <c r="A27" s="340" t="s">
        <v>665</v>
      </c>
      <c r="B27" s="368">
        <f>+Brho/beta/gamma/coef_Aq</f>
        <v>1.7991057201094836</v>
      </c>
      <c r="D27" s="367">
        <f>+E27*A_q/100</f>
        <v>3.8516975462123087E-3</v>
      </c>
      <c r="E27" s="348">
        <f>+U26*100</f>
        <v>0.2140895614504475</v>
      </c>
      <c r="G27" s="357">
        <f>+S26</f>
        <v>1.4940623220676432E-3</v>
      </c>
      <c r="H27" s="357">
        <f>+T26</f>
        <v>1.5333661695701827E-3</v>
      </c>
      <c r="I27" s="341"/>
      <c r="J27" s="341"/>
      <c r="K27" s="341"/>
      <c r="P27" s="329" t="s">
        <v>33</v>
      </c>
      <c r="Q27" s="366" t="s">
        <v>204</v>
      </c>
      <c r="R27" s="365">
        <f>-1+LN(5930/(1/beta2-1))/beta2</f>
        <v>44.865665507278521</v>
      </c>
      <c r="S27" s="327" t="s">
        <v>664</v>
      </c>
      <c r="T27" s="327" t="s">
        <v>663</v>
      </c>
      <c r="U27" s="342" t="s">
        <v>662</v>
      </c>
      <c r="AC27" s="410" t="s">
        <v>807</v>
      </c>
      <c r="AD27" s="368">
        <f>+Brho/beta_2/gamma_2/coef_Aq</f>
        <v>1.8982673201094824</v>
      </c>
      <c r="AF27" s="373">
        <f>+Aq_2*AG27/100</f>
        <v>6.0047236336196689E-3</v>
      </c>
      <c r="AG27" s="373">
        <f>+U12*100</f>
        <v>0.31632655580212732</v>
      </c>
    </row>
    <row r="28" spans="1:33">
      <c r="A28" s="421" t="s">
        <v>820</v>
      </c>
      <c r="B28" s="422">
        <f>+Aq_2</f>
        <v>1.8982673201094824</v>
      </c>
      <c r="D28" s="419">
        <f>+d_AoQ_2</f>
        <v>6.0047236336196689E-3</v>
      </c>
      <c r="E28" s="420">
        <f>+AG27</f>
        <v>0.31632655580212732</v>
      </c>
      <c r="F28" s="417" t="s">
        <v>819</v>
      </c>
      <c r="G28" s="418">
        <f>+S12</f>
        <v>1.5764107959231929E-3</v>
      </c>
      <c r="H28" s="418">
        <f>+T12</f>
        <v>2.7424766166843509E-3</v>
      </c>
      <c r="I28" s="341"/>
      <c r="J28" s="341"/>
      <c r="K28" s="341"/>
      <c r="P28" s="361"/>
      <c r="Q28" s="360" t="s">
        <v>661</v>
      </c>
      <c r="R28" s="359">
        <f>-1+LN(5930/(1/beta_up2-1))/beta_up2</f>
        <v>44.766602454825431</v>
      </c>
      <c r="S28" s="364">
        <f>+SQRT(R29/R27)</f>
        <v>1.5724362429949172</v>
      </c>
      <c r="T28" s="364">
        <f>+SQRT(R29/R28)</f>
        <v>1.5741750867477564</v>
      </c>
      <c r="U28" s="363">
        <f>+SQRT(R30/R27)</f>
        <v>1.5816351223484029</v>
      </c>
    </row>
    <row r="29" spans="1:33" ht="18.75">
      <c r="A29" s="459" t="s">
        <v>660</v>
      </c>
      <c r="B29" s="459"/>
      <c r="D29" s="362" t="s">
        <v>659</v>
      </c>
      <c r="E29" s="362" t="s">
        <v>132</v>
      </c>
      <c r="G29" s="341"/>
      <c r="H29" s="341" t="s">
        <v>658</v>
      </c>
      <c r="I29" s="341"/>
      <c r="J29" s="341"/>
      <c r="K29" s="341"/>
      <c r="P29" s="361"/>
      <c r="Q29" s="360" t="s">
        <v>657</v>
      </c>
      <c r="R29" s="359">
        <f>+E1_loss</f>
        <v>110.93285870195071</v>
      </c>
      <c r="S29" s="318" t="s">
        <v>656</v>
      </c>
      <c r="T29" s="318" t="s">
        <v>655</v>
      </c>
      <c r="U29" s="317" t="s">
        <v>616</v>
      </c>
      <c r="AC29" s="459" t="s">
        <v>660</v>
      </c>
      <c r="AD29" s="459"/>
    </row>
    <row r="30" spans="1:33">
      <c r="A30" s="468" t="s">
        <v>797</v>
      </c>
      <c r="B30" s="469">
        <f>+Z</f>
        <v>20</v>
      </c>
      <c r="C30" s="470"/>
      <c r="D30" s="338">
        <f>+E30*B30/100</f>
        <v>0.12561258316769522</v>
      </c>
      <c r="E30" s="471">
        <f>+U30*100</f>
        <v>0.62806291583847607</v>
      </c>
      <c r="G30" s="341"/>
      <c r="H30" s="357">
        <f>+S30</f>
        <v>1.1058278264607453E-3</v>
      </c>
      <c r="I30" s="357"/>
      <c r="J30" s="356">
        <f>+T30</f>
        <v>5.850080977506035E-3</v>
      </c>
      <c r="K30" s="356">
        <f>+se_Z/100</f>
        <v>2E-3</v>
      </c>
      <c r="P30" s="355"/>
      <c r="Q30" s="354" t="s">
        <v>653</v>
      </c>
      <c r="R30" s="353">
        <f>+E1_loss*(1+E20/100)</f>
        <v>112.23458761975553</v>
      </c>
      <c r="S30" s="332">
        <f>+ABS(T28-$S28)/$S28</f>
        <v>1.1058278264607453E-3</v>
      </c>
      <c r="T30" s="332">
        <f>+ABS(U28-$S28)/$S28</f>
        <v>5.850080977506035E-3</v>
      </c>
      <c r="U30" s="331">
        <f>+SQRT(SUMSQ(S30:T30,se_Z/100))</f>
        <v>6.2806291583847604E-3</v>
      </c>
      <c r="AC30" s="410"/>
      <c r="AD30" s="358"/>
    </row>
    <row r="31" spans="1:33">
      <c r="A31" s="340" t="s">
        <v>652</v>
      </c>
      <c r="B31" s="352">
        <f>+TKE*beta*gamma/(aem*(gamma-1)*Brho/coef_Aq)</f>
        <v>19.999994439042847</v>
      </c>
      <c r="D31" s="348">
        <f>+E31*B31/100</f>
        <v>7.5398424829037844E-2</v>
      </c>
      <c r="E31" s="347">
        <f>+S44*100</f>
        <v>0.3769922289670708</v>
      </c>
      <c r="G31" s="341">
        <f>+R44</f>
        <v>1.4918334299491921E-3</v>
      </c>
      <c r="H31" s="341">
        <f>+Q44</f>
        <v>1.4095201621268363E-3</v>
      </c>
      <c r="I31" s="341">
        <f>+P44</f>
        <v>3.1622776601683794E-3</v>
      </c>
      <c r="J31" s="341"/>
      <c r="K31" s="341"/>
      <c r="L31" s="341"/>
      <c r="P31" s="351" t="s">
        <v>651</v>
      </c>
      <c r="Q31" s="327" t="s">
        <v>650</v>
      </c>
      <c r="R31" s="342"/>
      <c r="S31" s="351" t="s">
        <v>649</v>
      </c>
      <c r="T31" s="327" t="s">
        <v>640</v>
      </c>
      <c r="U31" s="342"/>
      <c r="AC31"/>
      <c r="AD31"/>
      <c r="AE31"/>
    </row>
    <row r="32" spans="1:33">
      <c r="A32" s="340" t="s">
        <v>648</v>
      </c>
      <c r="B32" s="349">
        <f>+TKE/(gamma-1)/aem</f>
        <v>35.982104397439862</v>
      </c>
      <c r="D32" s="348">
        <f>+A__from_TKE*E32/100</f>
        <v>0.15538214118778509</v>
      </c>
      <c r="E32" s="347">
        <f>+R34*100</f>
        <v>0.43183172243489071</v>
      </c>
      <c r="G32" s="341"/>
      <c r="H32" s="341">
        <f>+Q34</f>
        <v>2.9407250211654344E-3</v>
      </c>
      <c r="I32" s="341">
        <f>+P34</f>
        <v>3.1622776601683794E-3</v>
      </c>
      <c r="J32" s="341"/>
      <c r="K32" s="341"/>
      <c r="L32" s="341"/>
      <c r="P32" s="319"/>
      <c r="Q32" s="324">
        <f>+TKE/(gamma_up-1)/aem</f>
        <v>35.876290922724124</v>
      </c>
      <c r="R32" s="350"/>
      <c r="S32" s="319"/>
      <c r="T32" s="318">
        <f>+A_q*B31*(1+E27/100)</f>
        <v>36.059138326944968</v>
      </c>
      <c r="U32" s="350"/>
      <c r="V32" s="322"/>
      <c r="W32" s="322"/>
      <c r="AC32"/>
      <c r="AD32"/>
      <c r="AE32"/>
    </row>
    <row r="33" spans="1:31">
      <c r="A33" s="340" t="s">
        <v>647</v>
      </c>
      <c r="B33" s="349">
        <f>+A_q*q</f>
        <v>35.982114402189673</v>
      </c>
      <c r="D33" s="348">
        <f>+B33*E33/100</f>
        <v>7.7033950924246183E-2</v>
      </c>
      <c r="E33" s="347">
        <f>+E27</f>
        <v>0.2140895614504475</v>
      </c>
      <c r="G33" s="341"/>
      <c r="I33" s="341"/>
      <c r="J33" s="341"/>
      <c r="K33" s="341"/>
      <c r="L33" s="341">
        <f>+T34</f>
        <v>2.1408956145044459E-3</v>
      </c>
      <c r="P33" s="319" t="s">
        <v>646</v>
      </c>
      <c r="Q33" s="318" t="s">
        <v>645</v>
      </c>
      <c r="R33" s="317" t="s">
        <v>635</v>
      </c>
      <c r="S33" s="319"/>
      <c r="T33" s="318" t="s">
        <v>636</v>
      </c>
      <c r="U33" s="317" t="s">
        <v>635</v>
      </c>
      <c r="V33" s="322"/>
      <c r="W33" s="322"/>
      <c r="AC33"/>
      <c r="AD33"/>
      <c r="AE33"/>
    </row>
    <row r="34" spans="1:31">
      <c r="A34" s="340" t="s">
        <v>644</v>
      </c>
      <c r="B34" s="349">
        <f>+B31*A_q</f>
        <v>35.982104397439848</v>
      </c>
      <c r="D34" s="348">
        <f>+A__from_A_q___q___measur*E34/100</f>
        <v>0.15599704340442813</v>
      </c>
      <c r="E34" s="347">
        <f>+S40*100</f>
        <v>0.43354063364767353</v>
      </c>
      <c r="G34" s="341">
        <f>+G27</f>
        <v>1.4940623220676432E-3</v>
      </c>
      <c r="H34" s="341">
        <f>+H27</f>
        <v>1.5333661695701827E-3</v>
      </c>
      <c r="I34" s="341">
        <f>+R40</f>
        <v>3.7699222896708908E-3</v>
      </c>
      <c r="J34" s="341"/>
      <c r="K34" s="341"/>
      <c r="L34" s="344"/>
      <c r="P34" s="333">
        <f>+me_TKE/100</f>
        <v>3.1622776601683794E-3</v>
      </c>
      <c r="Q34" s="332">
        <f>+ABS(Q32-A__from_TKE)/A__from_TKE</f>
        <v>2.9407250211654344E-3</v>
      </c>
      <c r="R34" s="331">
        <f>+SQRT(SUMSQ(P34,Q34))</f>
        <v>4.318317224348907E-3</v>
      </c>
      <c r="S34" s="333"/>
      <c r="T34" s="346">
        <f>+ABS(T32-A__from_A_q___q___measur)/A__from_A_q___q___measur</f>
        <v>2.1408956145044459E-3</v>
      </c>
      <c r="U34" s="345">
        <f>+T34</f>
        <v>2.1408956145044459E-3</v>
      </c>
      <c r="V34" s="322"/>
      <c r="W34" s="322"/>
      <c r="AC34"/>
      <c r="AD34"/>
      <c r="AE34"/>
    </row>
    <row r="35" spans="1:31">
      <c r="A35" s="340" t="s">
        <v>643</v>
      </c>
      <c r="B35" s="339">
        <f>+TKE/(gamma-1)/aem*(1-2*beta*gamma/(Brho/coef_Aq))</f>
        <v>-4.0178844806458462</v>
      </c>
      <c r="D35" s="338">
        <f>+W44</f>
        <v>7.8523432091358078E-2</v>
      </c>
      <c r="E35" s="337"/>
      <c r="G35" s="335">
        <f>+V44</f>
        <v>5.9673320605924562E-2</v>
      </c>
      <c r="H35" s="335">
        <f>+U44</f>
        <v>4.9432683907213892E-2</v>
      </c>
      <c r="I35" s="335">
        <f>+T44</f>
        <v>1.2705666334283272E-2</v>
      </c>
      <c r="J35" s="341"/>
      <c r="K35" s="341"/>
      <c r="L35" s="344"/>
      <c r="P35" s="343" t="s">
        <v>642</v>
      </c>
      <c r="Q35" s="327" t="s">
        <v>641</v>
      </c>
      <c r="R35" s="327" t="s">
        <v>640</v>
      </c>
      <c r="S35" s="342"/>
      <c r="U35" s="322"/>
      <c r="V35" s="322"/>
      <c r="W35" s="322"/>
      <c r="X35" s="322"/>
      <c r="AC35"/>
      <c r="AD35"/>
      <c r="AE35"/>
    </row>
    <row r="36" spans="1:31">
      <c r="A36" s="340" t="s">
        <v>639</v>
      </c>
      <c r="B36" s="339">
        <f>+TKE/(gamma-1)/aem*(1-3*beta*gamma/(Brho/coef_Aq))</f>
        <v>-24.017878919688702</v>
      </c>
      <c r="D36" s="338">
        <f>+W48</f>
        <v>0.11929734523935763</v>
      </c>
      <c r="E36" s="337"/>
      <c r="G36" s="335">
        <f>+V48</f>
        <v>8.9509980908879072E-2</v>
      </c>
      <c r="H36" s="335">
        <f>+U48</f>
        <v>2.1242288502957507E-2</v>
      </c>
      <c r="I36" s="335">
        <f>+T48</f>
        <v>7.5951201952356939E-2</v>
      </c>
      <c r="J36" s="341"/>
      <c r="K36" s="341"/>
      <c r="L36" s="341"/>
      <c r="O36" s="322"/>
      <c r="P36" s="319"/>
      <c r="Q36" s="324">
        <f>+(A_q+D27)*Qc</f>
        <v>36.059138326944975</v>
      </c>
      <c r="R36" s="324">
        <f>+A_q*(Qc+D31)</f>
        <v>36.117754134837021</v>
      </c>
      <c r="S36" s="317"/>
      <c r="W36" s="322"/>
      <c r="X36" s="322"/>
      <c r="AC36"/>
      <c r="AD36"/>
      <c r="AE36"/>
    </row>
    <row r="37" spans="1:31">
      <c r="A37" s="340" t="s">
        <v>638</v>
      </c>
      <c r="B37" s="339">
        <f>+(A_q-2)*Zc</f>
        <v>-4.0178855978103289</v>
      </c>
      <c r="D37" s="338">
        <f>+S48</f>
        <v>8.1061872796600695E-2</v>
      </c>
      <c r="E37" s="337"/>
      <c r="G37" s="336"/>
      <c r="H37" s="336"/>
      <c r="I37" s="336"/>
      <c r="J37" s="336"/>
      <c r="L37" s="335">
        <f>+Q48</f>
        <v>7.7033950924247918E-2</v>
      </c>
      <c r="M37" s="335">
        <f>+R48</f>
        <v>2.5234849440661122E-2</v>
      </c>
      <c r="P37" s="319"/>
      <c r="Q37" s="318" t="s">
        <v>637</v>
      </c>
      <c r="R37" s="318" t="s">
        <v>636</v>
      </c>
      <c r="S37" s="317" t="s">
        <v>635</v>
      </c>
      <c r="T37" s="322"/>
      <c r="U37" s="322"/>
      <c r="V37" s="322"/>
      <c r="W37" s="322"/>
      <c r="X37" s="322"/>
      <c r="AC37"/>
      <c r="AD37"/>
      <c r="AE37"/>
    </row>
    <row r="38" spans="1:31">
      <c r="A38" s="464" t="s">
        <v>827</v>
      </c>
      <c r="B38" s="465">
        <f>+dA_shift/(Aq_2-A_q)</f>
        <v>20.169097715244845</v>
      </c>
      <c r="C38" s="466"/>
      <c r="D38" s="473">
        <f>+B38*E38/100</f>
        <v>1.4510049632975548</v>
      </c>
      <c r="E38" s="474">
        <f>+SQRT(SUMSQ(G38,H38))*100</f>
        <v>7.1941986884262565</v>
      </c>
      <c r="F38" s="475"/>
      <c r="G38" s="467">
        <f>+ABS(Q38)</f>
        <v>4.0564421752050023E-2</v>
      </c>
      <c r="H38" s="467">
        <f>+ABS(R38)</f>
        <v>5.9415294030890888E-2</v>
      </c>
      <c r="I38" s="357"/>
      <c r="J38" s="356"/>
      <c r="K38" s="356"/>
      <c r="P38" s="413" t="s">
        <v>812</v>
      </c>
      <c r="Q38" s="425">
        <f>+O26/(Aq_2- A_q)</f>
        <v>4.0564421752050023E-2</v>
      </c>
      <c r="R38" s="425">
        <f>+P26/(Aq_2- A_q)</f>
        <v>5.9415294030890888E-2</v>
      </c>
      <c r="S38" s="414">
        <f>+dA_shift/(Aq_2+d_AoQ_2-A_q)</f>
        <v>19.017494677931875</v>
      </c>
      <c r="T38" s="414">
        <f>+dA_shift/(Aq_2-d_AoQ_2-A_q)</f>
        <v>21.469161247250764</v>
      </c>
      <c r="U38" s="363"/>
      <c r="V38" s="309">
        <f>+AVERAGE(S38:T38)</f>
        <v>20.243327962591319</v>
      </c>
      <c r="W38" s="302">
        <f>+(T38-S38)/2</f>
        <v>1.2258332846594442</v>
      </c>
      <c r="AC38" s="410" t="s">
        <v>798</v>
      </c>
      <c r="AD38" s="358"/>
    </row>
    <row r="39" spans="1:31">
      <c r="A39" s="464" t="s">
        <v>828</v>
      </c>
      <c r="B39" s="465">
        <f>+dA_shift/(Aq_2-MoQ1_int)</f>
        <v>20.35264620803482</v>
      </c>
      <c r="C39" s="466"/>
      <c r="D39" s="473">
        <f>+B39*E39/100</f>
        <v>1.2436689588759173</v>
      </c>
      <c r="E39" s="474">
        <f>+SQRT(SUMSQ(G39,H39))*100</f>
        <v>6.1106007846043218</v>
      </c>
      <c r="F39" s="475"/>
      <c r="G39" s="467">
        <f>+ABS(Q39)</f>
        <v>3.0452128883079389E-2</v>
      </c>
      <c r="H39" s="467">
        <f>+ABS(R39)</f>
        <v>5.2977467298550782E-2</v>
      </c>
      <c r="I39" s="357"/>
      <c r="J39" s="356"/>
      <c r="K39" s="356"/>
      <c r="L39" s="341">
        <f>+ABS(A_q-MoQ1_int)/MoQ1_int</f>
        <v>4.9682216139805091E-4</v>
      </c>
      <c r="P39" s="413" t="s">
        <v>812</v>
      </c>
      <c r="Q39" s="425">
        <f>+O25/(Aq_2- MoQ1_int)</f>
        <v>3.0452128883079389E-2</v>
      </c>
      <c r="R39" s="425">
        <f>+P25/(Aq_2- MoQ1_int)</f>
        <v>5.2977467298550782E-2</v>
      </c>
      <c r="S39" s="414">
        <f>+dA_shift/(Aq_2+d_AoQ_2-MoQ1_int)</f>
        <v>19.180596526212316</v>
      </c>
      <c r="T39" s="414">
        <f>+dA_shift/(Aq_2-d_AoQ_2-MoQ1_int)</f>
        <v>21.677256834227823</v>
      </c>
      <c r="U39" s="363"/>
      <c r="V39" s="309">
        <f>+AVERAGE(S39:T39)</f>
        <v>20.428926680220069</v>
      </c>
      <c r="W39" s="302">
        <f>+(T39-S39)/2</f>
        <v>1.2483301540077534</v>
      </c>
      <c r="AC39" s="410" t="s">
        <v>798</v>
      </c>
      <c r="AD39" s="358"/>
    </row>
    <row r="40" spans="1:31">
      <c r="A40" s="334" t="s">
        <v>634</v>
      </c>
      <c r="H40" s="330"/>
      <c r="I40" s="330"/>
      <c r="J40" s="330"/>
      <c r="K40" s="330"/>
      <c r="L40" s="330"/>
      <c r="M40" s="330"/>
      <c r="P40" s="333"/>
      <c r="Q40" s="332">
        <f>+ABS(Q36-A__from_A_q___q___measur)/A__from_A_q___q___measur</f>
        <v>2.1408956145046436E-3</v>
      </c>
      <c r="R40" s="332">
        <f>+ABS(R36-A__from_A_q___q___measur)/A__from_A_q___q___measur</f>
        <v>3.7699222896708908E-3</v>
      </c>
      <c r="S40" s="331">
        <f>+SQRT(SUMSQ(P40:R40))</f>
        <v>4.3354063364767353E-3</v>
      </c>
      <c r="U40" s="322"/>
      <c r="V40" s="322"/>
      <c r="W40" s="322"/>
      <c r="X40" s="322"/>
      <c r="AC40"/>
      <c r="AD40"/>
      <c r="AE40"/>
    </row>
    <row r="41" spans="1:31">
      <c r="A41" s="476" t="s">
        <v>829</v>
      </c>
      <c r="H41" s="330"/>
      <c r="I41" s="330"/>
      <c r="J41" s="330"/>
      <c r="K41" s="330"/>
      <c r="P41" s="329" t="s">
        <v>199</v>
      </c>
      <c r="Q41" s="327" t="s">
        <v>633</v>
      </c>
      <c r="R41" s="327" t="s">
        <v>632</v>
      </c>
      <c r="S41" s="328"/>
      <c r="T41" s="315" t="s">
        <v>623</v>
      </c>
      <c r="U41" s="327" t="s">
        <v>622</v>
      </c>
      <c r="V41" s="327" t="s">
        <v>621</v>
      </c>
      <c r="W41" s="326" t="s">
        <v>631</v>
      </c>
      <c r="AC41"/>
      <c r="AD41"/>
      <c r="AE41"/>
    </row>
    <row r="42" spans="1:31">
      <c r="A42" s="472" t="s">
        <v>826</v>
      </c>
      <c r="H42" s="322"/>
      <c r="I42" s="322"/>
      <c r="J42" s="322"/>
      <c r="K42" s="322"/>
      <c r="P42" s="319"/>
      <c r="Q42" s="324">
        <f>+TKE*beta_up*gamma_up/(aem*(gamma_up-1)*Brho/coef_Aq)</f>
        <v>19.971804043638592</v>
      </c>
      <c r="R42" s="323">
        <f>+TKE*beta*gamma/(aem*(gamma-1)*brho_up/coef_Aq)</f>
        <v>19.970157778739885</v>
      </c>
      <c r="S42" s="317"/>
      <c r="T42" s="325">
        <f>+tke_up/(gamma-1)/aem*(1-2*beta*gamma/(Brho/coef_Aq))</f>
        <v>-4.0305901469801295</v>
      </c>
      <c r="U42" s="324">
        <f>+TKE/(gamma_up-1)/aem*(1-2*beta_up*gamma_up/(Brho/coef_Aq))</f>
        <v>-4.0673171645530601</v>
      </c>
      <c r="V42" s="323">
        <f>+TKE/(gamma-1)/aem*(1-2*beta*gamma/(brho_up/coef_Aq))</f>
        <v>-3.9582111600399217</v>
      </c>
      <c r="W42" s="317"/>
      <c r="AC42"/>
      <c r="AD42"/>
      <c r="AE42"/>
    </row>
    <row r="43" spans="1:31">
      <c r="H43" s="322"/>
      <c r="I43" s="322"/>
      <c r="J43" s="322"/>
      <c r="K43" s="322"/>
      <c r="P43" s="319" t="s">
        <v>630</v>
      </c>
      <c r="Q43" s="318" t="s">
        <v>629</v>
      </c>
      <c r="R43" s="321" t="s">
        <v>628</v>
      </c>
      <c r="S43" s="320" t="s">
        <v>627</v>
      </c>
      <c r="T43" s="319" t="s">
        <v>619</v>
      </c>
      <c r="U43" s="318" t="s">
        <v>618</v>
      </c>
      <c r="V43" s="318" t="s">
        <v>617</v>
      </c>
      <c r="W43" s="317" t="s">
        <v>616</v>
      </c>
      <c r="AC43"/>
      <c r="AD43"/>
      <c r="AE43"/>
    </row>
    <row r="44" spans="1:31">
      <c r="P44" s="307">
        <f>+me_TKE/100</f>
        <v>3.1622776601683794E-3</v>
      </c>
      <c r="Q44" s="306">
        <f>+ABS(Q42-Qc)/Qc</f>
        <v>1.4095201621268363E-3</v>
      </c>
      <c r="R44" s="306">
        <f>+ABS(R42-Qc)/Qc</f>
        <v>1.4918334299491921E-3</v>
      </c>
      <c r="S44" s="305">
        <f>+SQRT(SUMSQ(P44:R44))</f>
        <v>3.7699222896707082E-3</v>
      </c>
      <c r="T44" s="307">
        <f>+ABS(T42-A_2q)</f>
        <v>1.2705666334283272E-2</v>
      </c>
      <c r="U44" s="306">
        <f>+ABS(U42-A_2q)</f>
        <v>4.9432683907213892E-2</v>
      </c>
      <c r="V44" s="306">
        <f>+ABS(V42-A_2q)</f>
        <v>5.9673320605924562E-2</v>
      </c>
      <c r="W44" s="305">
        <f>+SQRT(SUMSQ(T44:V44))</f>
        <v>7.8523432091358078E-2</v>
      </c>
      <c r="AC44"/>
      <c r="AD44"/>
      <c r="AE44"/>
    </row>
    <row r="45" spans="1:31">
      <c r="P45" s="392" t="s">
        <v>626</v>
      </c>
      <c r="Q45" s="314" t="s">
        <v>625</v>
      </c>
      <c r="R45" s="314" t="s">
        <v>624</v>
      </c>
      <c r="S45" s="316"/>
      <c r="T45" s="315" t="s">
        <v>623</v>
      </c>
      <c r="U45" s="314" t="s">
        <v>622</v>
      </c>
      <c r="V45" s="314" t="s">
        <v>621</v>
      </c>
      <c r="W45" s="313" t="s">
        <v>620</v>
      </c>
      <c r="AC45"/>
      <c r="AD45"/>
      <c r="AE45"/>
    </row>
    <row r="46" spans="1:31">
      <c r="P46" s="310"/>
      <c r="Q46" s="312">
        <f>+((A_q+D27)-2)*Zc</f>
        <v>-3.940851646886081</v>
      </c>
      <c r="R46" s="312">
        <f>+(A_q-2)*(Zc+D30)</f>
        <v>-4.0431204472509901</v>
      </c>
      <c r="S46" s="308"/>
      <c r="T46" s="312">
        <f>+tke_up/(gamma-1)/aem*(1-3*beta*gamma/(Brho/coef_Aq))</f>
        <v>-24.093830121641059</v>
      </c>
      <c r="U46" s="311">
        <f>+TKE/(gamma_up-1)/aem*(1-3*beta_up*gamma_up/(Brho/coef_Aq))</f>
        <v>-24.039121208191659</v>
      </c>
      <c r="V46" s="311">
        <f>+TKE/(gamma-1)/aem*(1-3*beta*gamma/(brho_up/coef_Aq))</f>
        <v>-23.928368938779823</v>
      </c>
      <c r="W46" s="308"/>
      <c r="AC46"/>
      <c r="AD46"/>
      <c r="AE46"/>
    </row>
    <row r="47" spans="1:31">
      <c r="P47" s="310"/>
      <c r="Q47" s="309" t="s">
        <v>618</v>
      </c>
      <c r="R47" s="309" t="s">
        <v>617</v>
      </c>
      <c r="S47" s="308" t="s">
        <v>616</v>
      </c>
      <c r="T47" s="310" t="s">
        <v>619</v>
      </c>
      <c r="U47" s="309" t="s">
        <v>618</v>
      </c>
      <c r="V47" s="309" t="s">
        <v>617</v>
      </c>
      <c r="W47" s="308" t="s">
        <v>616</v>
      </c>
      <c r="AC47"/>
      <c r="AD47"/>
      <c r="AE47"/>
    </row>
    <row r="48" spans="1:31">
      <c r="P48" s="307"/>
      <c r="Q48" s="306">
        <f>+ABS(Q46-A_2Z)</f>
        <v>7.7033950924247918E-2</v>
      </c>
      <c r="R48" s="306">
        <f>+ABS(R46-A_2Z)</f>
        <v>2.5234849440661122E-2</v>
      </c>
      <c r="S48" s="305">
        <f>+SQRT(SUMSQ(P48:R48))</f>
        <v>8.1061872796600695E-2</v>
      </c>
      <c r="T48" s="307">
        <f>+ABS(T46-A_3q)</f>
        <v>7.5951201952356939E-2</v>
      </c>
      <c r="U48" s="306">
        <f>+ABS(U46-A_3q)</f>
        <v>2.1242288502957507E-2</v>
      </c>
      <c r="V48" s="306">
        <f>+ABS(V46-A_3q)</f>
        <v>8.9509980908879072E-2</v>
      </c>
      <c r="W48" s="305">
        <f>+SQRT(SUMSQ(T48:V48))</f>
        <v>0.11929734523935763</v>
      </c>
      <c r="AC48"/>
      <c r="AD48"/>
      <c r="AE48"/>
    </row>
    <row r="49" spans="29:31">
      <c r="AC49"/>
      <c r="AD49"/>
      <c r="AE49"/>
    </row>
    <row r="50" spans="29:31">
      <c r="AC50"/>
      <c r="AD50"/>
      <c r="AE50"/>
    </row>
    <row r="51" spans="29:31">
      <c r="AC51"/>
      <c r="AD51"/>
      <c r="AE51"/>
    </row>
    <row r="52" spans="29:31">
      <c r="AC52"/>
      <c r="AD52"/>
      <c r="AE52"/>
    </row>
    <row r="53" spans="29:31">
      <c r="AC53"/>
      <c r="AD53"/>
      <c r="AE53"/>
    </row>
    <row r="54" spans="29:31">
      <c r="AC54"/>
      <c r="AD54"/>
      <c r="AE54"/>
    </row>
    <row r="55" spans="29:31">
      <c r="AC55"/>
      <c r="AD55"/>
      <c r="AE55"/>
    </row>
    <row r="56" spans="29:31">
      <c r="AC56"/>
      <c r="AD56"/>
      <c r="AE56"/>
    </row>
    <row r="57" spans="29:31">
      <c r="AC57"/>
      <c r="AD57"/>
      <c r="AE57"/>
    </row>
    <row r="58" spans="29:31">
      <c r="AC58"/>
      <c r="AD58"/>
      <c r="AE58"/>
    </row>
    <row r="59" spans="29:31">
      <c r="AC59"/>
      <c r="AD59"/>
      <c r="AE59"/>
    </row>
    <row r="60" spans="29:31">
      <c r="AC60"/>
      <c r="AD60"/>
      <c r="AE60"/>
    </row>
    <row r="61" spans="29:31">
      <c r="AC61"/>
      <c r="AD61"/>
      <c r="AE61"/>
    </row>
    <row r="62" spans="29:31">
      <c r="AC62"/>
      <c r="AD62"/>
      <c r="AE62"/>
    </row>
    <row r="63" spans="29:31">
      <c r="AC63"/>
      <c r="AD63"/>
      <c r="AE63"/>
    </row>
    <row r="64" spans="29:31">
      <c r="AC64"/>
      <c r="AD64"/>
      <c r="AE64"/>
    </row>
  </sheetData>
  <sheetProtection algorithmName="SHA-512" hashValue="JVnUQVi4YiTWtfliQFxj/wMpfUog5h17TtU8AiwVaw8478cGqjdDcWDJNHhCEx5wfAzKj6jc2UQthhWEAH0oRQ==" saltValue="eNc97YAjXy7xSZYSy6pxEw==" spinCount="100000" sheet="1" objects="1" scenarios="1" formatCells="0" formatColumns="0" formatRows="0" insertColumns="0" insertRows="0" insertHyperlinks="0" deleteColumns="0" deleteRows="0"/>
  <mergeCells count="12">
    <mergeCell ref="AC1:AD1"/>
    <mergeCell ref="AC17:AD17"/>
    <mergeCell ref="AC23:AD23"/>
    <mergeCell ref="AC29:AD29"/>
    <mergeCell ref="G9:J9"/>
    <mergeCell ref="G25:M25"/>
    <mergeCell ref="E1:G1"/>
    <mergeCell ref="A29:B29"/>
    <mergeCell ref="A1:B1"/>
    <mergeCell ref="A9:B9"/>
    <mergeCell ref="A23:B23"/>
    <mergeCell ref="A17:B17"/>
  </mergeCells>
  <hyperlinks>
    <hyperlink ref="A41" r:id="rId1"/>
  </hyperlinks>
  <pageMargins left="0.7" right="0.7" top="0.75" bottom="0.75" header="0.3" footer="0.3"/>
  <pageSetup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O135"/>
  <sheetViews>
    <sheetView showGridLines="0" zoomScale="7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30" sqref="G30"/>
    </sheetView>
  </sheetViews>
  <sheetFormatPr defaultRowHeight="12.75"/>
  <cols>
    <col min="1" max="1" width="10" style="256" customWidth="1"/>
    <col min="2" max="2" width="11.5703125" style="247" customWidth="1"/>
    <col min="3" max="3" width="26.7109375" style="252" customWidth="1"/>
    <col min="4" max="4" width="9.7109375" style="253" customWidth="1"/>
    <col min="5" max="5" width="25.28515625" style="252" customWidth="1"/>
    <col min="6" max="6" width="7.5703125" style="257" customWidth="1"/>
    <col min="7" max="13" width="11.140625" style="258" customWidth="1"/>
    <col min="14" max="14" width="9.140625" style="249"/>
    <col min="15" max="16384" width="9.140625" style="246"/>
  </cols>
  <sheetData>
    <row r="1" spans="1:15" s="183" customFormat="1" ht="27" customHeight="1" thickTop="1">
      <c r="A1" s="176"/>
      <c r="B1" s="177" t="s">
        <v>431</v>
      </c>
      <c r="C1" s="178" t="s">
        <v>432</v>
      </c>
      <c r="D1" s="178"/>
      <c r="E1" s="178" t="s">
        <v>433</v>
      </c>
      <c r="F1" s="179" t="s">
        <v>434</v>
      </c>
      <c r="G1" s="180" t="str">
        <f t="shared" ref="G1:M1" si="0">+TEXT(G2,"0")&amp;G4&amp;"+"&amp;TEXT(G14,"0")&amp;G16</f>
        <v>24+2</v>
      </c>
      <c r="H1" s="180" t="str">
        <f t="shared" si="0"/>
        <v>24+2</v>
      </c>
      <c r="I1" s="181" t="str">
        <f t="shared" si="0"/>
        <v>24+2</v>
      </c>
      <c r="J1" s="181" t="str">
        <f t="shared" si="0"/>
        <v>48+9</v>
      </c>
      <c r="K1" s="181" t="str">
        <f t="shared" si="0"/>
        <v>48+9</v>
      </c>
      <c r="L1" s="181" t="str">
        <f t="shared" si="0"/>
        <v>4+22</v>
      </c>
      <c r="M1" s="181" t="str">
        <f t="shared" si="0"/>
        <v>4+22</v>
      </c>
      <c r="N1" s="182"/>
    </row>
    <row r="2" spans="1:15" s="190" customFormat="1">
      <c r="A2" s="184" t="s">
        <v>435</v>
      </c>
      <c r="B2" s="286" t="s">
        <v>436</v>
      </c>
      <c r="C2" s="186" t="s">
        <v>435</v>
      </c>
      <c r="D2" s="187"/>
      <c r="E2" s="186" t="s">
        <v>435</v>
      </c>
      <c r="F2" s="188" t="s">
        <v>435</v>
      </c>
      <c r="G2" s="175">
        <v>24</v>
      </c>
      <c r="H2" s="175">
        <v>24</v>
      </c>
      <c r="I2" s="175">
        <v>24</v>
      </c>
      <c r="J2" s="175">
        <v>48</v>
      </c>
      <c r="K2" s="175">
        <v>48</v>
      </c>
      <c r="L2" s="175">
        <v>4</v>
      </c>
      <c r="M2" s="175">
        <v>4</v>
      </c>
      <c r="N2" s="189"/>
    </row>
    <row r="3" spans="1:15" s="191" customFormat="1">
      <c r="A3" s="184" t="s">
        <v>435</v>
      </c>
      <c r="B3" s="286" t="s">
        <v>437</v>
      </c>
      <c r="C3" s="186" t="s">
        <v>435</v>
      </c>
      <c r="D3" s="187"/>
      <c r="E3" s="186" t="s">
        <v>435</v>
      </c>
      <c r="F3" s="188" t="s">
        <v>435</v>
      </c>
      <c r="G3" s="175">
        <v>8</v>
      </c>
      <c r="H3" s="175">
        <v>8</v>
      </c>
      <c r="I3" s="175">
        <v>8</v>
      </c>
      <c r="J3" s="175">
        <v>20</v>
      </c>
      <c r="K3" s="175">
        <v>20</v>
      </c>
      <c r="L3" s="175">
        <v>2</v>
      </c>
      <c r="M3" s="175">
        <v>2</v>
      </c>
      <c r="N3" s="189"/>
    </row>
    <row r="4" spans="1:15" s="191" customFormat="1" ht="15.75">
      <c r="A4" s="184"/>
      <c r="B4" s="185" t="s">
        <v>438</v>
      </c>
      <c r="C4" s="186" t="s">
        <v>435</v>
      </c>
      <c r="D4" s="187"/>
      <c r="E4" s="186" t="s">
        <v>435</v>
      </c>
      <c r="F4" s="188" t="s">
        <v>435</v>
      </c>
      <c r="G4" s="192" t="str">
        <f>Show_Element(G3)</f>
        <v/>
      </c>
      <c r="H4" s="192" t="str">
        <f t="shared" ref="H4:M4" si="1">Show_Element(H3)</f>
        <v/>
      </c>
      <c r="I4" s="193" t="str">
        <f t="shared" si="1"/>
        <v/>
      </c>
      <c r="J4" s="193" t="str">
        <f t="shared" si="1"/>
        <v/>
      </c>
      <c r="K4" s="193" t="str">
        <f t="shared" si="1"/>
        <v/>
      </c>
      <c r="L4" s="193" t="str">
        <f t="shared" si="1"/>
        <v/>
      </c>
      <c r="M4" s="193" t="str">
        <f t="shared" si="1"/>
        <v/>
      </c>
      <c r="N4" s="189"/>
    </row>
    <row r="5" spans="1:15" s="191" customFormat="1">
      <c r="A5" s="184"/>
      <c r="B5" s="185" t="s">
        <v>590</v>
      </c>
      <c r="C5" s="186" t="s">
        <v>34</v>
      </c>
      <c r="D5" s="187"/>
      <c r="E5" s="186"/>
      <c r="F5" s="188" t="s">
        <v>234</v>
      </c>
      <c r="G5" s="194">
        <f>MassIsotope(G3,G2)</f>
        <v>24.020472000000002</v>
      </c>
      <c r="H5" s="194">
        <f t="shared" ref="H5:M5" si="2">MassIsotope(H3,H2)</f>
        <v>24.020472000000002</v>
      </c>
      <c r="I5" s="194">
        <f t="shared" si="2"/>
        <v>24.020472000000002</v>
      </c>
      <c r="J5" s="194">
        <f t="shared" si="2"/>
        <v>47.952534</v>
      </c>
      <c r="K5" s="194">
        <f t="shared" si="2"/>
        <v>47.952534</v>
      </c>
      <c r="L5" s="194">
        <f t="shared" si="2"/>
        <v>4.0026029999999997</v>
      </c>
      <c r="M5" s="194">
        <f t="shared" si="2"/>
        <v>4.0026029999999997</v>
      </c>
      <c r="N5" s="189"/>
    </row>
    <row r="6" spans="1:15" s="191" customFormat="1">
      <c r="A6" s="184"/>
      <c r="B6" s="185" t="s">
        <v>439</v>
      </c>
      <c r="C6" s="186" t="s">
        <v>440</v>
      </c>
      <c r="D6" s="187"/>
      <c r="E6" s="186"/>
      <c r="F6" s="188" t="s">
        <v>201</v>
      </c>
      <c r="G6" s="282">
        <f>+(G5-G2)*aem</f>
        <v>19.069551719041492</v>
      </c>
      <c r="H6" s="282">
        <f t="shared" ref="H6:M6" si="3">+(H5-H2)*aem</f>
        <v>19.069551719041492</v>
      </c>
      <c r="I6" s="282">
        <f t="shared" si="3"/>
        <v>19.069551719041492</v>
      </c>
      <c r="J6" s="282">
        <f t="shared" si="3"/>
        <v>-44.214309393120011</v>
      </c>
      <c r="K6" s="282">
        <f t="shared" si="3"/>
        <v>-44.214309393120011</v>
      </c>
      <c r="L6" s="282">
        <f t="shared" si="3"/>
        <v>2.4246797149597104</v>
      </c>
      <c r="M6" s="282">
        <f t="shared" si="3"/>
        <v>2.4246797149597104</v>
      </c>
      <c r="N6" s="189"/>
      <c r="O6" s="283"/>
    </row>
    <row r="7" spans="1:15" s="191" customFormat="1">
      <c r="A7" s="184" t="s">
        <v>435</v>
      </c>
      <c r="B7" s="185" t="s">
        <v>441</v>
      </c>
      <c r="C7" s="186" t="s">
        <v>442</v>
      </c>
      <c r="D7" s="187"/>
      <c r="E7" s="186" t="s">
        <v>442</v>
      </c>
      <c r="F7" s="188"/>
      <c r="G7" s="194">
        <f t="shared" ref="G7:M7" si="4">+Ap^(1/3)</f>
        <v>2.8844991406148166</v>
      </c>
      <c r="H7" s="194">
        <f t="shared" si="4"/>
        <v>2.8844991406148166</v>
      </c>
      <c r="I7" s="195">
        <f t="shared" si="4"/>
        <v>2.8844991406148166</v>
      </c>
      <c r="J7" s="195">
        <f t="shared" si="4"/>
        <v>3.6342411856642789</v>
      </c>
      <c r="K7" s="195">
        <f t="shared" si="4"/>
        <v>3.6342411856642789</v>
      </c>
      <c r="L7" s="195">
        <f t="shared" si="4"/>
        <v>1.5874010519681994</v>
      </c>
      <c r="M7" s="195">
        <f t="shared" si="4"/>
        <v>1.5874010519681994</v>
      </c>
      <c r="N7" s="189"/>
    </row>
    <row r="8" spans="1:15" s="191" customFormat="1">
      <c r="A8" s="184" t="s">
        <v>435</v>
      </c>
      <c r="B8" s="185" t="s">
        <v>443</v>
      </c>
      <c r="C8" s="186" t="s">
        <v>444</v>
      </c>
      <c r="D8" s="187" t="s">
        <v>445</v>
      </c>
      <c r="E8" s="186" t="s">
        <v>446</v>
      </c>
      <c r="F8" s="188" t="s">
        <v>447</v>
      </c>
      <c r="G8" s="194">
        <f t="shared" ref="G8:M8" si="5">1.28*Ap3_- 0.76+0.8/Ap3_</f>
        <v>3.209503409727219</v>
      </c>
      <c r="H8" s="194">
        <f t="shared" si="5"/>
        <v>3.209503409727219</v>
      </c>
      <c r="I8" s="195">
        <f t="shared" si="5"/>
        <v>3.209503409727219</v>
      </c>
      <c r="J8" s="195">
        <f t="shared" si="5"/>
        <v>4.1119572009099192</v>
      </c>
      <c r="K8" s="195">
        <f t="shared" si="5"/>
        <v>4.1119572009099192</v>
      </c>
      <c r="L8" s="195">
        <f t="shared" si="5"/>
        <v>1.7758417664772443</v>
      </c>
      <c r="M8" s="195">
        <f t="shared" si="5"/>
        <v>1.7758417664772443</v>
      </c>
      <c r="N8" s="189"/>
    </row>
    <row r="9" spans="1:15" s="191" customFormat="1">
      <c r="A9" s="184" t="s">
        <v>435</v>
      </c>
      <c r="B9" s="185" t="s">
        <v>448</v>
      </c>
      <c r="C9" s="186" t="s">
        <v>444</v>
      </c>
      <c r="D9" s="187" t="s">
        <v>449</v>
      </c>
      <c r="E9" s="186" t="s">
        <v>450</v>
      </c>
      <c r="F9" s="188" t="s">
        <v>447</v>
      </c>
      <c r="G9" s="194">
        <f t="shared" ref="G9:M9" si="6">+(1.13+0.0002*Ap)*Ap3_</f>
        <v>3.2733296247696932</v>
      </c>
      <c r="H9" s="194">
        <f t="shared" si="6"/>
        <v>3.2733296247696932</v>
      </c>
      <c r="I9" s="195">
        <f t="shared" si="6"/>
        <v>3.2733296247696932</v>
      </c>
      <c r="J9" s="195">
        <f t="shared" si="6"/>
        <v>4.141581255183012</v>
      </c>
      <c r="K9" s="195">
        <f t="shared" si="6"/>
        <v>4.141581255183012</v>
      </c>
      <c r="L9" s="195">
        <f t="shared" si="6"/>
        <v>1.7950331095656396</v>
      </c>
      <c r="M9" s="195">
        <f t="shared" si="6"/>
        <v>1.7950331095656396</v>
      </c>
      <c r="N9" s="189"/>
    </row>
    <row r="10" spans="1:15" s="191" customFormat="1">
      <c r="A10" s="184" t="s">
        <v>435</v>
      </c>
      <c r="B10" s="185" t="s">
        <v>451</v>
      </c>
      <c r="C10" s="186" t="s">
        <v>452</v>
      </c>
      <c r="D10" s="187" t="s">
        <v>445</v>
      </c>
      <c r="E10" s="186" t="s">
        <v>453</v>
      </c>
      <c r="F10" s="188" t="s">
        <v>447</v>
      </c>
      <c r="G10" s="194">
        <f t="shared" ref="G10:M10" si="7">+Rp*(1- (1/Rp)^2)</f>
        <v>2.8979287290556717</v>
      </c>
      <c r="H10" s="194">
        <f t="shared" si="7"/>
        <v>2.8979287290556717</v>
      </c>
      <c r="I10" s="195">
        <f t="shared" si="7"/>
        <v>2.8979287290556717</v>
      </c>
      <c r="J10" s="195">
        <f t="shared" si="7"/>
        <v>3.868764008194121</v>
      </c>
      <c r="K10" s="195">
        <f t="shared" si="7"/>
        <v>3.868764008194121</v>
      </c>
      <c r="L10" s="195">
        <f t="shared" si="7"/>
        <v>1.2127285325860793</v>
      </c>
      <c r="M10" s="195">
        <f t="shared" si="7"/>
        <v>1.2127285325860793</v>
      </c>
      <c r="N10" s="189"/>
    </row>
    <row r="11" spans="1:15" s="190" customFormat="1">
      <c r="A11" s="184" t="s">
        <v>435</v>
      </c>
      <c r="B11" s="185" t="s">
        <v>454</v>
      </c>
      <c r="C11" s="186" t="s">
        <v>452</v>
      </c>
      <c r="D11" s="187" t="s">
        <v>449</v>
      </c>
      <c r="E11" s="186" t="s">
        <v>455</v>
      </c>
      <c r="F11" s="188" t="s">
        <v>447</v>
      </c>
      <c r="G11" s="194">
        <f t="shared" ref="G11:M11" si="8">+_Rp1*(1- (1/_Rp1)^2)</f>
        <v>2.9678302969803756</v>
      </c>
      <c r="H11" s="194">
        <f t="shared" si="8"/>
        <v>2.9678302969803756</v>
      </c>
      <c r="I11" s="195">
        <f t="shared" si="8"/>
        <v>2.9678302969803756</v>
      </c>
      <c r="J11" s="195">
        <f t="shared" si="8"/>
        <v>3.9001275836539206</v>
      </c>
      <c r="K11" s="195">
        <f t="shared" si="8"/>
        <v>3.9001275836539206</v>
      </c>
      <c r="L11" s="195">
        <f t="shared" si="8"/>
        <v>1.2379403213206479</v>
      </c>
      <c r="M11" s="195">
        <f t="shared" si="8"/>
        <v>1.2379403213206479</v>
      </c>
      <c r="N11" s="189"/>
    </row>
    <row r="12" spans="1:15" s="190" customFormat="1">
      <c r="A12" s="184" t="s">
        <v>435</v>
      </c>
      <c r="B12" s="185" t="s">
        <v>456</v>
      </c>
      <c r="C12" s="186" t="s">
        <v>452</v>
      </c>
      <c r="D12" s="187"/>
      <c r="E12" s="186" t="s">
        <v>457</v>
      </c>
      <c r="F12" s="188" t="s">
        <v>447</v>
      </c>
      <c r="G12" s="194">
        <f t="shared" ref="G12:M12" si="9">1.18* Ap3_ -0.48</f>
        <v>2.9237089859254835</v>
      </c>
      <c r="H12" s="194">
        <f t="shared" si="9"/>
        <v>2.9237089859254835</v>
      </c>
      <c r="I12" s="195">
        <f t="shared" si="9"/>
        <v>2.9237089859254835</v>
      </c>
      <c r="J12" s="195">
        <f t="shared" si="9"/>
        <v>3.8084045990838491</v>
      </c>
      <c r="K12" s="195">
        <f t="shared" si="9"/>
        <v>3.8084045990838491</v>
      </c>
      <c r="L12" s="195">
        <f t="shared" si="9"/>
        <v>1.3931332413224751</v>
      </c>
      <c r="M12" s="195">
        <f t="shared" si="9"/>
        <v>1.3931332413224751</v>
      </c>
      <c r="N12" s="189"/>
    </row>
    <row r="13" spans="1:15" s="204" customFormat="1">
      <c r="A13" s="196" t="s">
        <v>435</v>
      </c>
      <c r="B13" s="197" t="s">
        <v>458</v>
      </c>
      <c r="C13" s="198" t="s">
        <v>459</v>
      </c>
      <c r="D13" s="199" t="s">
        <v>449</v>
      </c>
      <c r="E13" s="198" t="s">
        <v>460</v>
      </c>
      <c r="F13" s="200" t="s">
        <v>447</v>
      </c>
      <c r="G13" s="201">
        <f t="shared" ref="G13:M13" si="10">1.12* Ap3_+2.009/Ap3_-1.513/ Ap</f>
        <v>3.8640787709071409</v>
      </c>
      <c r="H13" s="201">
        <f t="shared" si="10"/>
        <v>3.8640787709071409</v>
      </c>
      <c r="I13" s="202">
        <f t="shared" si="10"/>
        <v>3.8640787709071409</v>
      </c>
      <c r="J13" s="202">
        <f t="shared" si="10"/>
        <v>4.5916269481964349</v>
      </c>
      <c r="K13" s="202">
        <f t="shared" si="10"/>
        <v>4.5916269481964349</v>
      </c>
      <c r="L13" s="202">
        <f t="shared" si="10"/>
        <v>2.6652298728237835</v>
      </c>
      <c r="M13" s="202">
        <f t="shared" si="10"/>
        <v>2.6652298728237835</v>
      </c>
      <c r="N13" s="203"/>
    </row>
    <row r="14" spans="1:15" s="211" customFormat="1">
      <c r="A14" s="284" t="s">
        <v>435</v>
      </c>
      <c r="B14" s="285" t="s">
        <v>119</v>
      </c>
      <c r="C14" s="207" t="s">
        <v>435</v>
      </c>
      <c r="D14" s="208"/>
      <c r="E14" s="207" t="s">
        <v>435</v>
      </c>
      <c r="F14" s="209" t="s">
        <v>435</v>
      </c>
      <c r="G14" s="175">
        <v>2</v>
      </c>
      <c r="H14" s="175">
        <v>2</v>
      </c>
      <c r="I14" s="175">
        <v>2</v>
      </c>
      <c r="J14" s="175">
        <v>9</v>
      </c>
      <c r="K14" s="175">
        <v>9</v>
      </c>
      <c r="L14" s="175">
        <v>22</v>
      </c>
      <c r="M14" s="175">
        <v>22</v>
      </c>
      <c r="N14" s="210"/>
    </row>
    <row r="15" spans="1:15" s="211" customFormat="1">
      <c r="A15" s="284" t="s">
        <v>435</v>
      </c>
      <c r="B15" s="285" t="s">
        <v>461</v>
      </c>
      <c r="C15" s="207" t="s">
        <v>435</v>
      </c>
      <c r="D15" s="208"/>
      <c r="E15" s="207" t="s">
        <v>435</v>
      </c>
      <c r="F15" s="209" t="s">
        <v>435</v>
      </c>
      <c r="G15" s="175">
        <v>1</v>
      </c>
      <c r="H15" s="175">
        <v>1</v>
      </c>
      <c r="I15" s="175">
        <v>1</v>
      </c>
      <c r="J15" s="175">
        <v>4</v>
      </c>
      <c r="K15" s="175">
        <v>4</v>
      </c>
      <c r="L15" s="175">
        <v>10</v>
      </c>
      <c r="M15" s="175">
        <v>10</v>
      </c>
      <c r="N15" s="210"/>
    </row>
    <row r="16" spans="1:15" s="211" customFormat="1" ht="15.75">
      <c r="A16" s="205"/>
      <c r="B16" s="206" t="s">
        <v>462</v>
      </c>
      <c r="C16" s="207" t="s">
        <v>435</v>
      </c>
      <c r="D16" s="208"/>
      <c r="E16" s="207" t="s">
        <v>435</v>
      </c>
      <c r="F16" s="209" t="s">
        <v>435</v>
      </c>
      <c r="G16" s="212" t="str">
        <f t="shared" ref="G16:M16" si="11">Show_Element(G15)</f>
        <v/>
      </c>
      <c r="H16" s="212" t="str">
        <f t="shared" si="11"/>
        <v/>
      </c>
      <c r="I16" s="213" t="str">
        <f t="shared" si="11"/>
        <v/>
      </c>
      <c r="J16" s="213" t="str">
        <f t="shared" si="11"/>
        <v/>
      </c>
      <c r="K16" s="213" t="str">
        <f t="shared" si="11"/>
        <v/>
      </c>
      <c r="L16" s="213" t="str">
        <f t="shared" si="11"/>
        <v/>
      </c>
      <c r="M16" s="213" t="str">
        <f t="shared" si="11"/>
        <v/>
      </c>
      <c r="N16" s="210"/>
    </row>
    <row r="17" spans="1:14" s="211" customFormat="1">
      <c r="A17" s="205"/>
      <c r="B17" s="206" t="s">
        <v>331</v>
      </c>
      <c r="C17" s="207" t="s">
        <v>34</v>
      </c>
      <c r="D17" s="208"/>
      <c r="E17" s="207"/>
      <c r="F17" s="209" t="s">
        <v>234</v>
      </c>
      <c r="G17" s="214">
        <f>MassIsotope(G15,G14)</f>
        <v>2.0141010000000001</v>
      </c>
      <c r="H17" s="214">
        <f t="shared" ref="H17:M17" si="12">MassIsotope(H15,H14)</f>
        <v>2.0141010000000001</v>
      </c>
      <c r="I17" s="215">
        <f t="shared" si="12"/>
        <v>2.0141010000000001</v>
      </c>
      <c r="J17" s="215">
        <f t="shared" si="12"/>
        <v>9.0121819999999992</v>
      </c>
      <c r="K17" s="215">
        <f t="shared" si="12"/>
        <v>9.0121819999999992</v>
      </c>
      <c r="L17" s="215">
        <f t="shared" si="12"/>
        <v>21.991385000000001</v>
      </c>
      <c r="M17" s="215">
        <f t="shared" si="12"/>
        <v>21.991385000000001</v>
      </c>
      <c r="N17" s="210"/>
    </row>
    <row r="18" spans="1:14" s="211" customFormat="1">
      <c r="A18" s="205" t="s">
        <v>435</v>
      </c>
      <c r="B18" s="206" t="s">
        <v>463</v>
      </c>
      <c r="C18" s="207" t="s">
        <v>440</v>
      </c>
      <c r="D18" s="208"/>
      <c r="E18" s="207"/>
      <c r="F18" s="209" t="s">
        <v>201</v>
      </c>
      <c r="G18" s="214">
        <f t="shared" ref="G18:M18" si="13">+(G17-G14)*aem</f>
        <v>13.135001406320132</v>
      </c>
      <c r="H18" s="214">
        <f t="shared" si="13"/>
        <v>13.135001406320132</v>
      </c>
      <c r="I18" s="215">
        <f t="shared" si="13"/>
        <v>13.135001406320132</v>
      </c>
      <c r="J18" s="215">
        <f t="shared" si="13"/>
        <v>11.347463806239301</v>
      </c>
      <c r="K18" s="215">
        <f t="shared" si="13"/>
        <v>11.347463806239301</v>
      </c>
      <c r="L18" s="215">
        <f t="shared" si="13"/>
        <v>-8.024823566799002</v>
      </c>
      <c r="M18" s="215">
        <f t="shared" si="13"/>
        <v>-8.024823566799002</v>
      </c>
      <c r="N18" s="210"/>
    </row>
    <row r="19" spans="1:14" s="211" customFormat="1">
      <c r="A19" s="205" t="s">
        <v>435</v>
      </c>
      <c r="B19" s="206" t="s">
        <v>464</v>
      </c>
      <c r="C19" s="207" t="s">
        <v>465</v>
      </c>
      <c r="D19" s="208"/>
      <c r="E19" s="207" t="s">
        <v>465</v>
      </c>
      <c r="F19" s="209"/>
      <c r="G19" s="214">
        <f t="shared" ref="G19:M19" si="14">+At^(1/3)</f>
        <v>1.2599210498948732</v>
      </c>
      <c r="H19" s="214">
        <f t="shared" si="14"/>
        <v>1.2599210498948732</v>
      </c>
      <c r="I19" s="215">
        <f t="shared" si="14"/>
        <v>1.2599210498948732</v>
      </c>
      <c r="J19" s="215">
        <f t="shared" si="14"/>
        <v>2.0800838230519041</v>
      </c>
      <c r="K19" s="215">
        <f t="shared" si="14"/>
        <v>2.0800838230519041</v>
      </c>
      <c r="L19" s="215">
        <f t="shared" si="14"/>
        <v>2.8020393306553872</v>
      </c>
      <c r="M19" s="215">
        <f t="shared" si="14"/>
        <v>2.8020393306553872</v>
      </c>
      <c r="N19" s="210"/>
    </row>
    <row r="20" spans="1:14" s="211" customFormat="1">
      <c r="A20" s="205" t="s">
        <v>435</v>
      </c>
      <c r="B20" s="206" t="s">
        <v>466</v>
      </c>
      <c r="C20" s="207" t="s">
        <v>444</v>
      </c>
      <c r="D20" s="208" t="s">
        <v>445</v>
      </c>
      <c r="E20" s="207" t="s">
        <v>467</v>
      </c>
      <c r="F20" s="209" t="s">
        <v>447</v>
      </c>
      <c r="G20" s="214">
        <f t="shared" ref="G20:M20" si="15">1.28*At3_- 0.76+0.8/At3_</f>
        <v>1.4876593646527176</v>
      </c>
      <c r="H20" s="214">
        <f t="shared" si="15"/>
        <v>1.4876593646527176</v>
      </c>
      <c r="I20" s="215">
        <f t="shared" si="15"/>
        <v>1.4876593646527176</v>
      </c>
      <c r="J20" s="215">
        <f t="shared" si="15"/>
        <v>2.2871071789217461</v>
      </c>
      <c r="K20" s="215">
        <f t="shared" si="15"/>
        <v>2.2871071789217461</v>
      </c>
      <c r="L20" s="215">
        <f t="shared" si="15"/>
        <v>3.112116685440339</v>
      </c>
      <c r="M20" s="215">
        <f t="shared" si="15"/>
        <v>3.112116685440339</v>
      </c>
      <c r="N20" s="210"/>
    </row>
    <row r="21" spans="1:14" s="211" customFormat="1">
      <c r="A21" s="205" t="s">
        <v>435</v>
      </c>
      <c r="B21" s="206" t="s">
        <v>468</v>
      </c>
      <c r="C21" s="207" t="s">
        <v>444</v>
      </c>
      <c r="D21" s="208" t="s">
        <v>449</v>
      </c>
      <c r="E21" s="207" t="s">
        <v>469</v>
      </c>
      <c r="F21" s="209" t="s">
        <v>447</v>
      </c>
      <c r="G21" s="214">
        <f t="shared" ref="G21:M21" si="16">+(1.13+0.0002*At)*At3_</f>
        <v>1.4242147548011646</v>
      </c>
      <c r="H21" s="214">
        <f t="shared" si="16"/>
        <v>1.4242147548011646</v>
      </c>
      <c r="I21" s="215">
        <f t="shared" si="16"/>
        <v>1.4242147548011646</v>
      </c>
      <c r="J21" s="215">
        <f t="shared" si="16"/>
        <v>2.3542388709301449</v>
      </c>
      <c r="K21" s="215">
        <f t="shared" si="16"/>
        <v>2.3542388709301449</v>
      </c>
      <c r="L21" s="215">
        <f t="shared" si="16"/>
        <v>3.1786334166954711</v>
      </c>
      <c r="M21" s="215">
        <f t="shared" si="16"/>
        <v>3.1786334166954711</v>
      </c>
      <c r="N21" s="210"/>
    </row>
    <row r="22" spans="1:14" s="211" customFormat="1">
      <c r="A22" s="205" t="s">
        <v>435</v>
      </c>
      <c r="B22" s="206" t="s">
        <v>470</v>
      </c>
      <c r="C22" s="207" t="s">
        <v>452</v>
      </c>
      <c r="D22" s="208" t="s">
        <v>445</v>
      </c>
      <c r="E22" s="207" t="s">
        <v>471</v>
      </c>
      <c r="F22" s="209" t="s">
        <v>447</v>
      </c>
      <c r="G22" s="214">
        <f t="shared" ref="G22:M22" si="17">+Rt*(1- (1/Rt)^2)</f>
        <v>0.81546247350926548</v>
      </c>
      <c r="H22" s="214">
        <f t="shared" si="17"/>
        <v>0.81546247350926548</v>
      </c>
      <c r="I22" s="215">
        <f t="shared" si="17"/>
        <v>0.81546247350926548</v>
      </c>
      <c r="J22" s="215">
        <f t="shared" si="17"/>
        <v>1.849873625017443</v>
      </c>
      <c r="K22" s="215">
        <f t="shared" si="17"/>
        <v>1.849873625017443</v>
      </c>
      <c r="L22" s="215">
        <f t="shared" si="17"/>
        <v>2.7907919726882819</v>
      </c>
      <c r="M22" s="215">
        <f t="shared" si="17"/>
        <v>2.7907919726882819</v>
      </c>
      <c r="N22" s="210"/>
    </row>
    <row r="23" spans="1:14" s="211" customFormat="1">
      <c r="A23" s="205" t="s">
        <v>435</v>
      </c>
      <c r="B23" s="206" t="s">
        <v>472</v>
      </c>
      <c r="C23" s="207" t="s">
        <v>452</v>
      </c>
      <c r="D23" s="208" t="s">
        <v>449</v>
      </c>
      <c r="E23" s="207" t="s">
        <v>473</v>
      </c>
      <c r="F23" s="209" t="s">
        <v>447</v>
      </c>
      <c r="G23" s="214">
        <f t="shared" ref="G23:M23" si="18">+_Rt1*(1- (1/_Rt1)^2)</f>
        <v>0.722073454390602</v>
      </c>
      <c r="H23" s="214">
        <f t="shared" si="18"/>
        <v>0.722073454390602</v>
      </c>
      <c r="I23" s="215">
        <f t="shared" si="18"/>
        <v>0.722073454390602</v>
      </c>
      <c r="J23" s="215">
        <f t="shared" si="18"/>
        <v>1.9294731377890102</v>
      </c>
      <c r="K23" s="215">
        <f t="shared" si="18"/>
        <v>1.9294731377890102</v>
      </c>
      <c r="L23" s="215">
        <f t="shared" si="18"/>
        <v>2.8640328104262505</v>
      </c>
      <c r="M23" s="215">
        <f t="shared" si="18"/>
        <v>2.8640328104262505</v>
      </c>
      <c r="N23" s="210"/>
    </row>
    <row r="24" spans="1:14" s="216" customFormat="1">
      <c r="A24" s="205" t="s">
        <v>435</v>
      </c>
      <c r="B24" s="206" t="s">
        <v>474</v>
      </c>
      <c r="C24" s="207" t="s">
        <v>452</v>
      </c>
      <c r="D24" s="208"/>
      <c r="E24" s="207" t="s">
        <v>475</v>
      </c>
      <c r="F24" s="209" t="s">
        <v>447</v>
      </c>
      <c r="G24" s="214">
        <f t="shared" ref="G24:M24" si="19">1.18* At3_ -0.48</f>
        <v>1.0067068388759504</v>
      </c>
      <c r="H24" s="214">
        <f t="shared" si="19"/>
        <v>1.0067068388759504</v>
      </c>
      <c r="I24" s="215">
        <f t="shared" si="19"/>
        <v>1.0067068388759504</v>
      </c>
      <c r="J24" s="215">
        <f t="shared" si="19"/>
        <v>1.9744989112012465</v>
      </c>
      <c r="K24" s="215">
        <f t="shared" si="19"/>
        <v>1.9744989112012465</v>
      </c>
      <c r="L24" s="215">
        <f t="shared" si="19"/>
        <v>2.8264064101733566</v>
      </c>
      <c r="M24" s="215">
        <f t="shared" si="19"/>
        <v>2.8264064101733566</v>
      </c>
      <c r="N24" s="210"/>
    </row>
    <row r="25" spans="1:14" s="225" customFormat="1">
      <c r="A25" s="217" t="s">
        <v>435</v>
      </c>
      <c r="B25" s="218" t="s">
        <v>476</v>
      </c>
      <c r="C25" s="219" t="s">
        <v>459</v>
      </c>
      <c r="D25" s="220" t="s">
        <v>449</v>
      </c>
      <c r="E25" s="219" t="s">
        <v>477</v>
      </c>
      <c r="F25" s="221" t="s">
        <v>447</v>
      </c>
      <c r="G25" s="222">
        <f t="shared" ref="G25:M25" si="20">1.12* At3_+2.009/At3_-1.513/ At</f>
        <v>2.2491559325843147</v>
      </c>
      <c r="H25" s="222">
        <f t="shared" si="20"/>
        <v>2.2491559325843147</v>
      </c>
      <c r="I25" s="223">
        <f t="shared" si="20"/>
        <v>2.2491559325843147</v>
      </c>
      <c r="J25" s="223">
        <f t="shared" si="20"/>
        <v>3.1274092329562162</v>
      </c>
      <c r="K25" s="223">
        <f t="shared" si="20"/>
        <v>3.1274092329562162</v>
      </c>
      <c r="L25" s="223">
        <f t="shared" si="20"/>
        <v>3.7864891249146808</v>
      </c>
      <c r="M25" s="223">
        <f t="shared" si="20"/>
        <v>3.7864891249146808</v>
      </c>
      <c r="N25" s="224"/>
    </row>
    <row r="26" spans="1:14" s="234" customFormat="1">
      <c r="A26" s="226" t="s">
        <v>435</v>
      </c>
      <c r="B26" s="287" t="s">
        <v>123</v>
      </c>
      <c r="C26" s="228" t="s">
        <v>478</v>
      </c>
      <c r="D26" s="229"/>
      <c r="E26" s="228" t="s">
        <v>479</v>
      </c>
      <c r="F26" s="230" t="s">
        <v>478</v>
      </c>
      <c r="G26" s="231">
        <f t="shared" ref="G26:M27" si="21">+G14+G2</f>
        <v>26</v>
      </c>
      <c r="H26" s="231">
        <f t="shared" si="21"/>
        <v>26</v>
      </c>
      <c r="I26" s="232">
        <f t="shared" si="21"/>
        <v>26</v>
      </c>
      <c r="J26" s="232">
        <f t="shared" si="21"/>
        <v>57</v>
      </c>
      <c r="K26" s="232">
        <f t="shared" si="21"/>
        <v>57</v>
      </c>
      <c r="L26" s="232">
        <f t="shared" si="21"/>
        <v>26</v>
      </c>
      <c r="M26" s="232">
        <f t="shared" si="21"/>
        <v>26</v>
      </c>
      <c r="N26" s="233"/>
    </row>
    <row r="27" spans="1:14" s="234" customFormat="1">
      <c r="A27" s="226" t="s">
        <v>435</v>
      </c>
      <c r="B27" s="287" t="s">
        <v>480</v>
      </c>
      <c r="C27" s="228" t="s">
        <v>478</v>
      </c>
      <c r="D27" s="229"/>
      <c r="E27" s="228" t="s">
        <v>481</v>
      </c>
      <c r="F27" s="230" t="s">
        <v>478</v>
      </c>
      <c r="G27" s="231">
        <f t="shared" si="21"/>
        <v>9</v>
      </c>
      <c r="H27" s="231">
        <f t="shared" si="21"/>
        <v>9</v>
      </c>
      <c r="I27" s="232">
        <f t="shared" si="21"/>
        <v>9</v>
      </c>
      <c r="J27" s="232">
        <f t="shared" si="21"/>
        <v>24</v>
      </c>
      <c r="K27" s="232">
        <f t="shared" si="21"/>
        <v>24</v>
      </c>
      <c r="L27" s="232">
        <f t="shared" si="21"/>
        <v>12</v>
      </c>
      <c r="M27" s="232">
        <f t="shared" si="21"/>
        <v>12</v>
      </c>
      <c r="N27" s="233"/>
    </row>
    <row r="28" spans="1:14" s="234" customFormat="1">
      <c r="A28" s="226"/>
      <c r="B28" s="227" t="s">
        <v>462</v>
      </c>
      <c r="C28" s="228" t="s">
        <v>435</v>
      </c>
      <c r="D28" s="229"/>
      <c r="E28" s="228" t="s">
        <v>435</v>
      </c>
      <c r="F28" s="230" t="s">
        <v>435</v>
      </c>
      <c r="G28" s="231" t="str">
        <f t="shared" ref="G28:M28" si="22">Show_Element(G27)</f>
        <v/>
      </c>
      <c r="H28" s="231" t="str">
        <f t="shared" si="22"/>
        <v/>
      </c>
      <c r="I28" s="232" t="str">
        <f t="shared" si="22"/>
        <v/>
      </c>
      <c r="J28" s="232" t="str">
        <f t="shared" si="22"/>
        <v/>
      </c>
      <c r="K28" s="232" t="str">
        <f t="shared" si="22"/>
        <v/>
      </c>
      <c r="L28" s="232" t="str">
        <f t="shared" si="22"/>
        <v/>
      </c>
      <c r="M28" s="232" t="str">
        <f t="shared" si="22"/>
        <v/>
      </c>
      <c r="N28" s="233"/>
    </row>
    <row r="29" spans="1:14" s="234" customFormat="1">
      <c r="A29" s="226"/>
      <c r="B29" s="227" t="s">
        <v>591</v>
      </c>
      <c r="C29" s="228" t="s">
        <v>34</v>
      </c>
      <c r="D29" s="229"/>
      <c r="E29" s="228"/>
      <c r="F29" s="230" t="s">
        <v>234</v>
      </c>
      <c r="G29" s="235">
        <f>MassIsotope(G27,G26)</f>
        <v>26.019613</v>
      </c>
      <c r="H29" s="235">
        <f t="shared" ref="H29:M29" si="23">MassIsotope(H27,H26)</f>
        <v>26.019613</v>
      </c>
      <c r="I29" s="236">
        <f t="shared" si="23"/>
        <v>26.019613</v>
      </c>
      <c r="J29" s="236">
        <f t="shared" si="23"/>
        <v>56.943612999999999</v>
      </c>
      <c r="K29" s="236">
        <f t="shared" si="23"/>
        <v>56.943612999999999</v>
      </c>
      <c r="L29" s="236">
        <f t="shared" si="23"/>
        <v>25.982592</v>
      </c>
      <c r="M29" s="236">
        <f t="shared" si="23"/>
        <v>25.982592</v>
      </c>
      <c r="N29" s="233"/>
    </row>
    <row r="30" spans="1:14" s="234" customFormat="1">
      <c r="A30" s="226" t="s">
        <v>435</v>
      </c>
      <c r="B30" s="227" t="s">
        <v>482</v>
      </c>
      <c r="C30" s="228" t="s">
        <v>440</v>
      </c>
      <c r="D30" s="229"/>
      <c r="E30" s="228"/>
      <c r="F30" s="230" t="s">
        <v>201</v>
      </c>
      <c r="G30" s="235">
        <f t="shared" ref="G30:M30" si="24">+(G29-G26)*aem</f>
        <v>18.269398098159684</v>
      </c>
      <c r="H30" s="235">
        <f t="shared" si="24"/>
        <v>18.269398098159684</v>
      </c>
      <c r="I30" s="236">
        <f t="shared" si="24"/>
        <v>18.269398098159684</v>
      </c>
      <c r="J30" s="236">
        <f t="shared" si="24"/>
        <v>-52.524170221840798</v>
      </c>
      <c r="K30" s="236">
        <f t="shared" si="24"/>
        <v>-52.524170221840798</v>
      </c>
      <c r="L30" s="236">
        <f t="shared" si="24"/>
        <v>-16.215453122559669</v>
      </c>
      <c r="M30" s="236">
        <f t="shared" si="24"/>
        <v>-16.215453122559669</v>
      </c>
      <c r="N30" s="233"/>
    </row>
    <row r="31" spans="1:14" s="234" customFormat="1">
      <c r="A31" s="226" t="s">
        <v>435</v>
      </c>
      <c r="B31" s="227" t="s">
        <v>199</v>
      </c>
      <c r="C31" s="228" t="s">
        <v>483</v>
      </c>
      <c r="D31" s="229"/>
      <c r="E31" s="228" t="s">
        <v>484</v>
      </c>
      <c r="F31" s="230" t="s">
        <v>201</v>
      </c>
      <c r="G31" s="235">
        <f t="shared" ref="G31:M31" si="25">+dEt+dEp-dEc</f>
        <v>13.935155027201944</v>
      </c>
      <c r="H31" s="235">
        <f t="shared" si="25"/>
        <v>13.935155027201944</v>
      </c>
      <c r="I31" s="236">
        <f t="shared" si="25"/>
        <v>13.935155027201944</v>
      </c>
      <c r="J31" s="236">
        <f t="shared" si="25"/>
        <v>19.657324634960084</v>
      </c>
      <c r="K31" s="236">
        <f t="shared" si="25"/>
        <v>19.657324634960084</v>
      </c>
      <c r="L31" s="236">
        <f t="shared" si="25"/>
        <v>10.615309270720378</v>
      </c>
      <c r="M31" s="236">
        <f t="shared" si="25"/>
        <v>10.615309270720378</v>
      </c>
      <c r="N31" s="233"/>
    </row>
    <row r="32" spans="1:14" s="234" customFormat="1">
      <c r="A32" s="226" t="s">
        <v>435</v>
      </c>
      <c r="B32" s="227" t="s">
        <v>230</v>
      </c>
      <c r="C32" s="228" t="s">
        <v>485</v>
      </c>
      <c r="D32" s="229"/>
      <c r="E32" s="228" t="s">
        <v>486</v>
      </c>
      <c r="F32" s="230" t="s">
        <v>435</v>
      </c>
      <c r="G32" s="235">
        <f t="shared" ref="G32:M32" si="26">+Ap*At/(Ap+At)</f>
        <v>1.8461538461538463</v>
      </c>
      <c r="H32" s="235">
        <f t="shared" si="26"/>
        <v>1.8461538461538463</v>
      </c>
      <c r="I32" s="236">
        <f t="shared" si="26"/>
        <v>1.8461538461538463</v>
      </c>
      <c r="J32" s="236">
        <f t="shared" si="26"/>
        <v>7.5789473684210522</v>
      </c>
      <c r="K32" s="236">
        <f t="shared" si="26"/>
        <v>7.5789473684210522</v>
      </c>
      <c r="L32" s="236">
        <f t="shared" si="26"/>
        <v>3.3846153846153846</v>
      </c>
      <c r="M32" s="236">
        <f t="shared" si="26"/>
        <v>3.3846153846153846</v>
      </c>
      <c r="N32" s="233"/>
    </row>
    <row r="33" spans="1:14" s="234" customFormat="1">
      <c r="A33" s="226" t="s">
        <v>435</v>
      </c>
      <c r="B33" s="227" t="s">
        <v>487</v>
      </c>
      <c r="C33" s="228" t="s">
        <v>488</v>
      </c>
      <c r="D33" s="229"/>
      <c r="E33" s="228" t="s">
        <v>488</v>
      </c>
      <c r="F33" s="230"/>
      <c r="G33" s="235">
        <f t="shared" ref="G33:M33" si="27">+Ac^(1/3)</f>
        <v>2.9624960684073702</v>
      </c>
      <c r="H33" s="235">
        <f t="shared" si="27"/>
        <v>2.9624960684073702</v>
      </c>
      <c r="I33" s="236">
        <f t="shared" si="27"/>
        <v>2.9624960684073702</v>
      </c>
      <c r="J33" s="236">
        <f t="shared" si="27"/>
        <v>3.8485011312768047</v>
      </c>
      <c r="K33" s="236">
        <f t="shared" si="27"/>
        <v>3.8485011312768047</v>
      </c>
      <c r="L33" s="236">
        <f t="shared" si="27"/>
        <v>2.9624960684073702</v>
      </c>
      <c r="M33" s="236">
        <f t="shared" si="27"/>
        <v>2.9624960684073702</v>
      </c>
      <c r="N33" s="233"/>
    </row>
    <row r="34" spans="1:14" s="234" customFormat="1">
      <c r="A34" s="226" t="s">
        <v>435</v>
      </c>
      <c r="B34" s="227" t="s">
        <v>489</v>
      </c>
      <c r="C34" s="228" t="s">
        <v>490</v>
      </c>
      <c r="D34" s="229"/>
      <c r="E34" s="228" t="s">
        <v>491</v>
      </c>
      <c r="F34" s="230"/>
      <c r="G34" s="235">
        <f t="shared" ref="G34:M34" si="28">+At3_+Ap3_</f>
        <v>4.14442019050969</v>
      </c>
      <c r="H34" s="235">
        <f t="shared" si="28"/>
        <v>4.14442019050969</v>
      </c>
      <c r="I34" s="236">
        <f t="shared" si="28"/>
        <v>4.14442019050969</v>
      </c>
      <c r="J34" s="236">
        <f t="shared" si="28"/>
        <v>5.714325008716183</v>
      </c>
      <c r="K34" s="236">
        <f t="shared" si="28"/>
        <v>5.714325008716183</v>
      </c>
      <c r="L34" s="236">
        <f t="shared" si="28"/>
        <v>4.3894403826235866</v>
      </c>
      <c r="M34" s="236">
        <f t="shared" si="28"/>
        <v>4.3894403826235866</v>
      </c>
      <c r="N34" s="233"/>
    </row>
    <row r="35" spans="1:14" s="234" customFormat="1">
      <c r="A35" s="226"/>
      <c r="B35" s="227" t="s">
        <v>492</v>
      </c>
      <c r="C35" s="228" t="s">
        <v>493</v>
      </c>
      <c r="D35" s="229"/>
      <c r="E35" s="228" t="s">
        <v>494</v>
      </c>
      <c r="F35" s="230" t="s">
        <v>447</v>
      </c>
      <c r="G35" s="235">
        <f t="shared" ref="G35:M35" si="29">+Rt+Rp</f>
        <v>4.6971627743799367</v>
      </c>
      <c r="H35" s="235">
        <f t="shared" si="29"/>
        <v>4.6971627743799367</v>
      </c>
      <c r="I35" s="236">
        <f t="shared" si="29"/>
        <v>4.6971627743799367</v>
      </c>
      <c r="J35" s="236">
        <f t="shared" si="29"/>
        <v>6.3990643798316658</v>
      </c>
      <c r="K35" s="236">
        <f t="shared" si="29"/>
        <v>6.3990643798316658</v>
      </c>
      <c r="L35" s="236">
        <f t="shared" si="29"/>
        <v>4.8879584519175836</v>
      </c>
      <c r="M35" s="236">
        <f t="shared" si="29"/>
        <v>4.8879584519175836</v>
      </c>
      <c r="N35" s="233"/>
    </row>
    <row r="36" spans="1:14" s="234" customFormat="1">
      <c r="A36" s="226"/>
      <c r="B36" s="227" t="s">
        <v>495</v>
      </c>
      <c r="C36" s="228" t="s">
        <v>496</v>
      </c>
      <c r="D36" s="229" t="s">
        <v>445</v>
      </c>
      <c r="E36" s="228" t="s">
        <v>497</v>
      </c>
      <c r="F36" s="230" t="s">
        <v>447</v>
      </c>
      <c r="G36" s="235">
        <f t="shared" ref="G36:M36" si="30">+Ct+Cp+4.49-(Ct+Cp)/6.35</f>
        <v>7.6186051864129789</v>
      </c>
      <c r="H36" s="235">
        <f t="shared" si="30"/>
        <v>7.6186051864129789</v>
      </c>
      <c r="I36" s="236">
        <f t="shared" si="30"/>
        <v>7.6186051864129789</v>
      </c>
      <c r="J36" s="236">
        <f t="shared" si="30"/>
        <v>9.3080647775876955</v>
      </c>
      <c r="K36" s="236">
        <f t="shared" si="30"/>
        <v>9.3080647775876955</v>
      </c>
      <c r="L36" s="236">
        <f t="shared" si="30"/>
        <v>7.8630448351524143</v>
      </c>
      <c r="M36" s="236">
        <f t="shared" si="30"/>
        <v>7.8630448351524143</v>
      </c>
      <c r="N36" s="233"/>
    </row>
    <row r="37" spans="1:14" s="234" customFormat="1">
      <c r="A37" s="226" t="s">
        <v>435</v>
      </c>
      <c r="B37" s="227" t="s">
        <v>498</v>
      </c>
      <c r="C37" s="228" t="s">
        <v>496</v>
      </c>
      <c r="D37" s="229" t="s">
        <v>449</v>
      </c>
      <c r="E37" s="228" t="s">
        <v>499</v>
      </c>
      <c r="F37" s="230" t="s">
        <v>447</v>
      </c>
      <c r="G37" s="235">
        <f t="shared" ref="G37:M37" si="31">1.68*AtAp3</f>
        <v>6.9626259200562792</v>
      </c>
      <c r="H37" s="235">
        <f t="shared" si="31"/>
        <v>6.9626259200562792</v>
      </c>
      <c r="I37" s="236">
        <f t="shared" si="31"/>
        <v>6.9626259200562792</v>
      </c>
      <c r="J37" s="236">
        <f t="shared" si="31"/>
        <v>9.6000660146431862</v>
      </c>
      <c r="K37" s="236">
        <f t="shared" si="31"/>
        <v>9.6000660146431862</v>
      </c>
      <c r="L37" s="236">
        <f t="shared" si="31"/>
        <v>7.3742598428076249</v>
      </c>
      <c r="M37" s="236">
        <f t="shared" si="31"/>
        <v>7.3742598428076249</v>
      </c>
      <c r="N37" s="233"/>
    </row>
    <row r="38" spans="1:14" s="234" customFormat="1">
      <c r="A38" s="226" t="s">
        <v>435</v>
      </c>
      <c r="B38" s="227" t="s">
        <v>500</v>
      </c>
      <c r="C38" s="228" t="s">
        <v>496</v>
      </c>
      <c r="D38" s="229" t="s">
        <v>449</v>
      </c>
      <c r="E38" s="228" t="s">
        <v>501</v>
      </c>
      <c r="F38" s="230" t="s">
        <v>447</v>
      </c>
      <c r="G38" s="235">
        <f t="shared" ref="G38:M38" si="32">+Cp1_+Ct1_+3.2</f>
        <v>6.8899037513709782</v>
      </c>
      <c r="H38" s="235">
        <f t="shared" si="32"/>
        <v>6.8899037513709782</v>
      </c>
      <c r="I38" s="236">
        <f t="shared" si="32"/>
        <v>6.8899037513709782</v>
      </c>
      <c r="J38" s="236">
        <f t="shared" si="32"/>
        <v>9.0296007214429324</v>
      </c>
      <c r="K38" s="236">
        <f t="shared" si="32"/>
        <v>9.0296007214429324</v>
      </c>
      <c r="L38" s="236">
        <f t="shared" si="32"/>
        <v>7.301973131746899</v>
      </c>
      <c r="M38" s="236">
        <f t="shared" si="32"/>
        <v>7.301973131746899</v>
      </c>
      <c r="N38" s="233"/>
    </row>
    <row r="39" spans="1:14" s="234" customFormat="1">
      <c r="A39" s="226" t="s">
        <v>435</v>
      </c>
      <c r="B39" s="227" t="s">
        <v>502</v>
      </c>
      <c r="C39" s="228" t="s">
        <v>503</v>
      </c>
      <c r="D39" s="229" t="s">
        <v>445</v>
      </c>
      <c r="E39" s="228" t="s">
        <v>504</v>
      </c>
      <c r="F39" s="230" t="s">
        <v>447</v>
      </c>
      <c r="G39" s="235">
        <f t="shared" ref="G39:M39" si="33">+Rint-IF(Zp*Zt&lt;500,0.3117*(Zp*Zt)^(0.2122),1.096+1.391*Zp*Zt/10000)</f>
        <v>7.1340173625447871</v>
      </c>
      <c r="H39" s="235">
        <f t="shared" si="33"/>
        <v>7.1340173625447871</v>
      </c>
      <c r="I39" s="236">
        <f t="shared" si="33"/>
        <v>7.1340173625447871</v>
      </c>
      <c r="J39" s="236">
        <f t="shared" si="33"/>
        <v>8.5181640797259703</v>
      </c>
      <c r="K39" s="236">
        <f t="shared" si="33"/>
        <v>8.5181640797259703</v>
      </c>
      <c r="L39" s="236">
        <f t="shared" si="33"/>
        <v>7.2744514630912631</v>
      </c>
      <c r="M39" s="236">
        <f t="shared" si="33"/>
        <v>7.2744514630912631</v>
      </c>
      <c r="N39" s="233"/>
    </row>
    <row r="40" spans="1:14" s="234" customFormat="1">
      <c r="A40" s="226" t="s">
        <v>435</v>
      </c>
      <c r="B40" s="227" t="s">
        <v>505</v>
      </c>
      <c r="C40" s="228" t="s">
        <v>506</v>
      </c>
      <c r="D40" s="229" t="s">
        <v>507</v>
      </c>
      <c r="E40" s="228" t="s">
        <v>508</v>
      </c>
      <c r="F40" s="230" t="s">
        <v>447</v>
      </c>
      <c r="G40" s="235">
        <f t="shared" ref="G40:M40" si="34">0.5+1.36*AtAp3</f>
        <v>6.1364114590931784</v>
      </c>
      <c r="H40" s="235">
        <f t="shared" si="34"/>
        <v>6.1364114590931784</v>
      </c>
      <c r="I40" s="236">
        <f t="shared" si="34"/>
        <v>6.1364114590931784</v>
      </c>
      <c r="J40" s="236">
        <f t="shared" si="34"/>
        <v>8.2714820118540082</v>
      </c>
      <c r="K40" s="236">
        <f t="shared" si="34"/>
        <v>8.2714820118540082</v>
      </c>
      <c r="L40" s="236">
        <f t="shared" si="34"/>
        <v>6.4696389203680784</v>
      </c>
      <c r="M40" s="236">
        <f t="shared" si="34"/>
        <v>6.4696389203680784</v>
      </c>
      <c r="N40" s="233"/>
    </row>
    <row r="41" spans="1:14" s="234" customFormat="1">
      <c r="A41" s="226" t="s">
        <v>435</v>
      </c>
      <c r="B41" s="227" t="s">
        <v>509</v>
      </c>
      <c r="C41" s="228" t="s">
        <v>435</v>
      </c>
      <c r="D41" s="229"/>
      <c r="E41" s="228" t="s">
        <v>510</v>
      </c>
      <c r="F41" s="230" t="s">
        <v>447</v>
      </c>
      <c r="G41" s="235">
        <f t="shared" ref="G41:M41" si="35">+Rint/AtAp3</f>
        <v>1.8382801058297193</v>
      </c>
      <c r="H41" s="235">
        <f t="shared" si="35"/>
        <v>1.8382801058297193</v>
      </c>
      <c r="I41" s="236">
        <f t="shared" si="35"/>
        <v>1.8382801058297193</v>
      </c>
      <c r="J41" s="236">
        <f t="shared" si="35"/>
        <v>1.6289001349048058</v>
      </c>
      <c r="K41" s="236">
        <f t="shared" si="35"/>
        <v>1.6289001349048058</v>
      </c>
      <c r="L41" s="236">
        <f t="shared" si="35"/>
        <v>1.7913547399526679</v>
      </c>
      <c r="M41" s="236">
        <f t="shared" si="35"/>
        <v>1.7913547399526679</v>
      </c>
      <c r="N41" s="233"/>
    </row>
    <row r="42" spans="1:14" s="234" customFormat="1">
      <c r="A42" s="226" t="s">
        <v>435</v>
      </c>
      <c r="B42" s="227" t="s">
        <v>511</v>
      </c>
      <c r="C42" s="228" t="s">
        <v>512</v>
      </c>
      <c r="D42" s="229"/>
      <c r="E42" s="228" t="s">
        <v>513</v>
      </c>
      <c r="F42" s="230" t="s">
        <v>447</v>
      </c>
      <c r="G42" s="235">
        <f t="shared" ref="G42:M42" si="36">+Ct*Cp/(Ct+Cp)</f>
        <v>0.6363865266382408</v>
      </c>
      <c r="H42" s="235">
        <f t="shared" si="36"/>
        <v>0.6363865266382408</v>
      </c>
      <c r="I42" s="236">
        <f t="shared" si="36"/>
        <v>0.6363865266382408</v>
      </c>
      <c r="J42" s="236">
        <f t="shared" si="36"/>
        <v>1.2514736829295972</v>
      </c>
      <c r="K42" s="236">
        <f t="shared" si="36"/>
        <v>1.2514736829295972</v>
      </c>
      <c r="L42" s="236">
        <f t="shared" si="36"/>
        <v>0.84537422734127643</v>
      </c>
      <c r="M42" s="236">
        <f t="shared" si="36"/>
        <v>0.84537422734127643</v>
      </c>
      <c r="N42" s="233"/>
    </row>
    <row r="43" spans="1:14" s="234" customFormat="1">
      <c r="A43" s="226" t="s">
        <v>435</v>
      </c>
      <c r="B43" s="227" t="s">
        <v>514</v>
      </c>
      <c r="C43" s="228" t="s">
        <v>515</v>
      </c>
      <c r="D43" s="229"/>
      <c r="E43" s="228" t="s">
        <v>516</v>
      </c>
      <c r="F43" s="230" t="s">
        <v>201</v>
      </c>
      <c r="G43" s="235">
        <f t="shared" ref="G43:M43" si="37">1.438*Zp*Zt/Rint</f>
        <v>1.5099876839025907</v>
      </c>
      <c r="H43" s="235">
        <f t="shared" si="37"/>
        <v>1.5099876839025907</v>
      </c>
      <c r="I43" s="236">
        <f t="shared" si="37"/>
        <v>1.5099876839025907</v>
      </c>
      <c r="J43" s="236">
        <f t="shared" si="37"/>
        <v>12.359174839113452</v>
      </c>
      <c r="K43" s="236">
        <f t="shared" si="37"/>
        <v>12.359174839113452</v>
      </c>
      <c r="L43" s="236">
        <f t="shared" si="37"/>
        <v>3.6576161783315744</v>
      </c>
      <c r="M43" s="236">
        <f t="shared" si="37"/>
        <v>3.6576161783315744</v>
      </c>
      <c r="N43" s="233"/>
    </row>
    <row r="44" spans="1:14" s="234" customFormat="1">
      <c r="A44" s="226" t="s">
        <v>435</v>
      </c>
      <c r="B44" s="227" t="s">
        <v>517</v>
      </c>
      <c r="C44" s="228" t="s">
        <v>518</v>
      </c>
      <c r="D44" s="229"/>
      <c r="E44" s="228" t="s">
        <v>519</v>
      </c>
      <c r="F44" s="230" t="s">
        <v>201</v>
      </c>
      <c r="G44" s="235">
        <f t="shared" ref="G44:M44" si="38">1.438*Zp*Zt/Rc_</f>
        <v>1.8747113156750457</v>
      </c>
      <c r="H44" s="235">
        <f t="shared" si="38"/>
        <v>1.8747113156750457</v>
      </c>
      <c r="I44" s="236">
        <f t="shared" si="38"/>
        <v>1.8747113156750457</v>
      </c>
      <c r="J44" s="236">
        <f t="shared" si="38"/>
        <v>13.908027586245623</v>
      </c>
      <c r="K44" s="236">
        <f t="shared" si="38"/>
        <v>13.908027586245623</v>
      </c>
      <c r="L44" s="236">
        <f t="shared" si="38"/>
        <v>4.4453794646029099</v>
      </c>
      <c r="M44" s="236">
        <f t="shared" si="38"/>
        <v>4.4453794646029099</v>
      </c>
      <c r="N44" s="233"/>
    </row>
    <row r="45" spans="1:14" s="234" customFormat="1">
      <c r="A45" s="226" t="s">
        <v>435</v>
      </c>
      <c r="B45" s="227" t="s">
        <v>520</v>
      </c>
      <c r="C45" s="228" t="s">
        <v>521</v>
      </c>
      <c r="D45" s="229"/>
      <c r="E45" s="228" t="s">
        <v>522</v>
      </c>
      <c r="F45" s="230" t="s">
        <v>201</v>
      </c>
      <c r="G45" s="235">
        <f t="shared" ref="G45:M45" si="39">1.438*Zp*Zt/Rbar</f>
        <v>1.6125556492753459</v>
      </c>
      <c r="H45" s="235">
        <f t="shared" si="39"/>
        <v>1.6125556492753459</v>
      </c>
      <c r="I45" s="236">
        <f t="shared" si="39"/>
        <v>1.6125556492753459</v>
      </c>
      <c r="J45" s="236">
        <f t="shared" si="39"/>
        <v>13.50525757936572</v>
      </c>
      <c r="K45" s="236">
        <f t="shared" si="39"/>
        <v>13.50525757936572</v>
      </c>
      <c r="L45" s="236">
        <f t="shared" si="39"/>
        <v>3.9535627044762074</v>
      </c>
      <c r="M45" s="236">
        <f t="shared" si="39"/>
        <v>3.9535627044762074</v>
      </c>
      <c r="N45" s="233"/>
    </row>
    <row r="46" spans="1:14" s="234" customFormat="1">
      <c r="A46" s="226"/>
      <c r="B46" s="227" t="s">
        <v>523</v>
      </c>
      <c r="C46" s="228" t="s">
        <v>524</v>
      </c>
      <c r="D46" s="229"/>
      <c r="E46" s="228" t="s">
        <v>525</v>
      </c>
      <c r="F46" s="230"/>
      <c r="G46" s="235">
        <f t="shared" ref="G46:M46" si="40">+Zc^2/Ac/50.13*(1-1.7826*((Ac-2*Zc)^2)/(Ac^2))</f>
        <v>5.1657907919155303E-2</v>
      </c>
      <c r="H46" s="235">
        <f t="shared" si="40"/>
        <v>5.1657907919155303E-2</v>
      </c>
      <c r="I46" s="236">
        <f t="shared" si="40"/>
        <v>5.1657907919155303E-2</v>
      </c>
      <c r="J46" s="236">
        <f t="shared" si="40"/>
        <v>0.19262257305811711</v>
      </c>
      <c r="K46" s="236">
        <f t="shared" si="40"/>
        <v>0.19262257305811711</v>
      </c>
      <c r="L46" s="236">
        <f t="shared" si="40"/>
        <v>0.10931662157225985</v>
      </c>
      <c r="M46" s="236">
        <f t="shared" si="40"/>
        <v>0.10931662157225985</v>
      </c>
      <c r="N46" s="233"/>
    </row>
    <row r="47" spans="1:14" s="245" customFormat="1">
      <c r="A47" s="237" t="s">
        <v>435</v>
      </c>
      <c r="B47" s="238" t="s">
        <v>203</v>
      </c>
      <c r="C47" s="239" t="s">
        <v>526</v>
      </c>
      <c r="D47" s="240"/>
      <c r="E47" s="239" t="s">
        <v>527</v>
      </c>
      <c r="F47" s="241" t="s">
        <v>201</v>
      </c>
      <c r="G47" s="242">
        <f t="shared" ref="G47:M47" si="41">0.1071*Zc^2/Ac3_+22.3</f>
        <v>25.228307683683681</v>
      </c>
      <c r="H47" s="242">
        <f t="shared" si="41"/>
        <v>25.228307683683681</v>
      </c>
      <c r="I47" s="243">
        <f t="shared" si="41"/>
        <v>25.228307683683681</v>
      </c>
      <c r="J47" s="243">
        <f t="shared" si="41"/>
        <v>38.329513282105609</v>
      </c>
      <c r="K47" s="243">
        <f t="shared" si="41"/>
        <v>38.329513282105609</v>
      </c>
      <c r="L47" s="243">
        <f t="shared" si="41"/>
        <v>27.50588032654877</v>
      </c>
      <c r="M47" s="243">
        <f t="shared" si="41"/>
        <v>27.50588032654877</v>
      </c>
      <c r="N47" s="244"/>
    </row>
    <row r="48" spans="1:14" s="265" customFormat="1">
      <c r="A48" s="259" t="s">
        <v>435</v>
      </c>
      <c r="B48" s="260" t="s">
        <v>528</v>
      </c>
      <c r="C48" s="261" t="s">
        <v>435</v>
      </c>
      <c r="D48" s="262"/>
      <c r="E48" s="261" t="s">
        <v>435</v>
      </c>
      <c r="F48" s="263" t="s">
        <v>201</v>
      </c>
      <c r="G48" s="266">
        <f>+Elab_A*Mp</f>
        <v>120.10236</v>
      </c>
      <c r="H48" s="266">
        <f t="shared" ref="H48:M48" si="42">+Elab_A*Mp</f>
        <v>240.20472000000001</v>
      </c>
      <c r="I48" s="267">
        <f t="shared" si="42"/>
        <v>480.40944000000002</v>
      </c>
      <c r="J48" s="267">
        <f t="shared" si="42"/>
        <v>959.05068000000006</v>
      </c>
      <c r="K48" s="267">
        <f t="shared" si="42"/>
        <v>1438.57602</v>
      </c>
      <c r="L48" s="267">
        <f t="shared" si="42"/>
        <v>20.013014999999999</v>
      </c>
      <c r="M48" s="267">
        <f t="shared" si="42"/>
        <v>40.026029999999999</v>
      </c>
      <c r="N48" s="264"/>
    </row>
    <row r="49" spans="1:14" s="265" customFormat="1">
      <c r="A49" s="259" t="s">
        <v>435</v>
      </c>
      <c r="B49" s="260" t="s">
        <v>592</v>
      </c>
      <c r="C49" s="261" t="s">
        <v>593</v>
      </c>
      <c r="D49" s="262"/>
      <c r="E49" s="261" t="s">
        <v>529</v>
      </c>
      <c r="F49" s="263" t="s">
        <v>589</v>
      </c>
      <c r="G49" s="288">
        <v>5</v>
      </c>
      <c r="H49" s="288">
        <v>10</v>
      </c>
      <c r="I49" s="289">
        <v>20</v>
      </c>
      <c r="J49" s="289">
        <v>20</v>
      </c>
      <c r="K49" s="289">
        <v>30</v>
      </c>
      <c r="L49" s="289">
        <v>5</v>
      </c>
      <c r="M49" s="289">
        <v>10</v>
      </c>
      <c r="N49" s="264"/>
    </row>
    <row r="50" spans="1:14" s="265" customFormat="1">
      <c r="A50" s="259" t="s">
        <v>435</v>
      </c>
      <c r="B50" s="260" t="s">
        <v>530</v>
      </c>
      <c r="C50" s="261" t="s">
        <v>531</v>
      </c>
      <c r="D50" s="262"/>
      <c r="E50" s="261" t="s">
        <v>594</v>
      </c>
      <c r="F50" s="263" t="s">
        <v>201</v>
      </c>
      <c r="G50" s="266">
        <f>+Mt*Elab/(Mt+Mp)</f>
        <v>9.2914250361763191</v>
      </c>
      <c r="H50" s="266">
        <f t="shared" ref="H50:M50" si="43">+Mt*Elab/(Mt+Mp)</f>
        <v>18.582850072352638</v>
      </c>
      <c r="I50" s="267">
        <f t="shared" si="43"/>
        <v>37.165700144705276</v>
      </c>
      <c r="J50" s="267">
        <f t="shared" si="43"/>
        <v>151.72794463477638</v>
      </c>
      <c r="K50" s="267">
        <f t="shared" si="43"/>
        <v>227.59191695216458</v>
      </c>
      <c r="L50" s="267">
        <f t="shared" si="43"/>
        <v>16.931373434340856</v>
      </c>
      <c r="M50" s="267">
        <f t="shared" si="43"/>
        <v>33.862746868681711</v>
      </c>
      <c r="N50" s="264"/>
    </row>
    <row r="51" spans="1:14" s="265" customFormat="1">
      <c r="A51" s="259" t="s">
        <v>435</v>
      </c>
      <c r="B51" s="260" t="s">
        <v>532</v>
      </c>
      <c r="C51" s="261" t="s">
        <v>533</v>
      </c>
      <c r="D51" s="262"/>
      <c r="E51" s="261" t="s">
        <v>532</v>
      </c>
      <c r="F51" s="263" t="s">
        <v>201</v>
      </c>
      <c r="G51" s="266">
        <f t="shared" ref="G51:M51" si="44">+Ecm+Q</f>
        <v>23.226580063378265</v>
      </c>
      <c r="H51" s="266">
        <f t="shared" si="44"/>
        <v>32.518005099554586</v>
      </c>
      <c r="I51" s="267">
        <f t="shared" si="44"/>
        <v>51.10085517190722</v>
      </c>
      <c r="J51" s="267">
        <f t="shared" si="44"/>
        <v>171.38526926973645</v>
      </c>
      <c r="K51" s="267">
        <f t="shared" si="44"/>
        <v>247.24924158712466</v>
      </c>
      <c r="L51" s="267">
        <f t="shared" si="44"/>
        <v>27.546682705061233</v>
      </c>
      <c r="M51" s="267">
        <f t="shared" si="44"/>
        <v>44.478056139402085</v>
      </c>
      <c r="N51" s="264"/>
    </row>
    <row r="52" spans="1:14" s="265" customFormat="1">
      <c r="A52" s="259"/>
      <c r="B52" s="260" t="s">
        <v>534</v>
      </c>
      <c r="C52" s="261" t="s">
        <v>535</v>
      </c>
      <c r="D52" s="262" t="s">
        <v>445</v>
      </c>
      <c r="E52" s="261" t="s">
        <v>536</v>
      </c>
      <c r="F52" s="263" t="s">
        <v>435</v>
      </c>
      <c r="G52" s="266">
        <f>0.15746*Zp*Zt*(Mp/Elab)^0.5</f>
        <v>0.56334602197938699</v>
      </c>
      <c r="H52" s="266">
        <f t="shared" ref="H52:M52" si="45">0.15746*Zp*Zt*(Mp/Elab)^0.5</f>
        <v>0.39834579229609041</v>
      </c>
      <c r="I52" s="266">
        <f t="shared" si="45"/>
        <v>0.2816730109896935</v>
      </c>
      <c r="J52" s="266">
        <f t="shared" si="45"/>
        <v>2.8167301098969344</v>
      </c>
      <c r="K52" s="266">
        <f t="shared" si="45"/>
        <v>2.2998505041270252</v>
      </c>
      <c r="L52" s="266">
        <f t="shared" si="45"/>
        <v>1.4083650549484672</v>
      </c>
      <c r="M52" s="266">
        <f t="shared" si="45"/>
        <v>0.99586448074022593</v>
      </c>
      <c r="N52" s="264"/>
    </row>
    <row r="53" spans="1:14" s="265" customFormat="1">
      <c r="A53" s="259" t="s">
        <v>435</v>
      </c>
      <c r="B53" s="260" t="s">
        <v>537</v>
      </c>
      <c r="C53" s="261" t="s">
        <v>538</v>
      </c>
      <c r="D53" s="262" t="s">
        <v>445</v>
      </c>
      <c r="E53" s="261" t="s">
        <v>539</v>
      </c>
      <c r="F53" s="263" t="s">
        <v>540</v>
      </c>
      <c r="G53" s="266">
        <f>0.2187*Mt*(Mp*Elab)^0.5/(Mt+Mp)</f>
        <v>0.90875352442721169</v>
      </c>
      <c r="H53" s="266">
        <f t="shared" ref="H53:M53" si="46">0.2187*Mt*(Mp*Elab)^0.5/(Mt+Mp)</f>
        <v>1.2851715590993127</v>
      </c>
      <c r="I53" s="266">
        <f t="shared" si="46"/>
        <v>1.8175070488544234</v>
      </c>
      <c r="J53" s="266">
        <f t="shared" si="46"/>
        <v>7.4199223425954006</v>
      </c>
      <c r="K53" s="266">
        <f t="shared" si="46"/>
        <v>9.0875118352175814</v>
      </c>
      <c r="L53" s="266">
        <f t="shared" si="46"/>
        <v>1.6559833633638685</v>
      </c>
      <c r="M53" s="266">
        <f t="shared" si="46"/>
        <v>2.3419141315333958</v>
      </c>
      <c r="N53" s="264"/>
    </row>
    <row r="54" spans="1:14" s="265" customFormat="1">
      <c r="A54" s="259" t="s">
        <v>435</v>
      </c>
      <c r="B54" s="260" t="s">
        <v>541</v>
      </c>
      <c r="C54" s="261" t="s">
        <v>542</v>
      </c>
      <c r="D54" s="262" t="s">
        <v>543</v>
      </c>
      <c r="E54" s="261" t="s">
        <v>544</v>
      </c>
      <c r="F54" s="263" t="s">
        <v>447</v>
      </c>
      <c r="G54" s="266">
        <f t="shared" ref="G54:M54" si="47">+ETA/k</f>
        <v>0.61991068737198529</v>
      </c>
      <c r="H54" s="266">
        <f t="shared" si="47"/>
        <v>0.30995534368599259</v>
      </c>
      <c r="I54" s="267">
        <f t="shared" si="47"/>
        <v>0.15497767184299632</v>
      </c>
      <c r="J54" s="267">
        <f t="shared" si="47"/>
        <v>0.37961719541550831</v>
      </c>
      <c r="K54" s="267">
        <f t="shared" si="47"/>
        <v>0.2530781302770056</v>
      </c>
      <c r="L54" s="267">
        <f t="shared" si="47"/>
        <v>0.85047053376647219</v>
      </c>
      <c r="M54" s="267">
        <f t="shared" si="47"/>
        <v>0.42523526688323621</v>
      </c>
      <c r="N54" s="264"/>
    </row>
    <row r="55" spans="1:14" s="265" customFormat="1">
      <c r="A55" s="259" t="s">
        <v>435</v>
      </c>
      <c r="B55" s="260" t="s">
        <v>545</v>
      </c>
      <c r="C55" s="261" t="s">
        <v>546</v>
      </c>
      <c r="D55" s="262" t="s">
        <v>445</v>
      </c>
      <c r="E55" s="261" t="s">
        <v>547</v>
      </c>
      <c r="F55" s="263" t="s">
        <v>548</v>
      </c>
      <c r="G55" s="266">
        <f t="shared" ref="G55:M55" si="48">IF(Ecm&lt;VC,180,2*ASIN(ETA/(k*Rint-ETA))*180/PI())</f>
        <v>10.163288103851118</v>
      </c>
      <c r="H55" s="266">
        <f t="shared" si="48"/>
        <v>4.8612154616276637</v>
      </c>
      <c r="I55" s="267">
        <f t="shared" si="48"/>
        <v>2.3795948303557806</v>
      </c>
      <c r="J55" s="267">
        <f t="shared" si="48"/>
        <v>4.8736404666035229</v>
      </c>
      <c r="K55" s="267">
        <f t="shared" si="48"/>
        <v>3.2031405006876463</v>
      </c>
      <c r="L55" s="267">
        <f t="shared" si="48"/>
        <v>13.931723195314765</v>
      </c>
      <c r="M55" s="267">
        <f t="shared" si="48"/>
        <v>6.5550155405684611</v>
      </c>
      <c r="N55" s="264"/>
    </row>
    <row r="56" spans="1:14" s="265" customFormat="1">
      <c r="A56" s="259" t="s">
        <v>435</v>
      </c>
      <c r="B56" s="260" t="s">
        <v>549</v>
      </c>
      <c r="C56" s="261" t="s">
        <v>550</v>
      </c>
      <c r="D56" s="262" t="s">
        <v>551</v>
      </c>
      <c r="E56" s="261" t="s">
        <v>552</v>
      </c>
      <c r="F56" s="263" t="s">
        <v>548</v>
      </c>
      <c r="G56" s="266">
        <f t="shared" ref="G56:M56" si="49">2*ATAN( ETA/Lmax)*180/PI()</f>
        <v>10.163288103851118</v>
      </c>
      <c r="H56" s="266">
        <f t="shared" si="49"/>
        <v>4.8612154616276637</v>
      </c>
      <c r="I56" s="267">
        <f t="shared" si="49"/>
        <v>2.3795948303557806</v>
      </c>
      <c r="J56" s="267">
        <f t="shared" si="49"/>
        <v>4.8736404666035229</v>
      </c>
      <c r="K56" s="267">
        <f t="shared" si="49"/>
        <v>3.2031405006876472</v>
      </c>
      <c r="L56" s="267">
        <f t="shared" si="49"/>
        <v>13.931723195314765</v>
      </c>
      <c r="M56" s="267">
        <f t="shared" si="49"/>
        <v>6.5550155405684611</v>
      </c>
      <c r="N56" s="264"/>
    </row>
    <row r="57" spans="1:14" s="265" customFormat="1">
      <c r="A57" s="259" t="s">
        <v>435</v>
      </c>
      <c r="B57" s="260" t="s">
        <v>553</v>
      </c>
      <c r="C57" s="261" t="s">
        <v>554</v>
      </c>
      <c r="D57" s="262"/>
      <c r="E57" s="261" t="s">
        <v>555</v>
      </c>
      <c r="F57" s="263" t="s">
        <v>548</v>
      </c>
      <c r="G57" s="266">
        <f t="shared" ref="G57:M57" si="50">+ASIN(a/(Rint-a))*2*180/PI()</f>
        <v>10.163288103851118</v>
      </c>
      <c r="H57" s="266">
        <f t="shared" si="50"/>
        <v>4.8612154616276637</v>
      </c>
      <c r="I57" s="267">
        <f t="shared" si="50"/>
        <v>2.379594830355781</v>
      </c>
      <c r="J57" s="267">
        <f t="shared" si="50"/>
        <v>4.8736404666035229</v>
      </c>
      <c r="K57" s="267">
        <f t="shared" si="50"/>
        <v>3.2031405006876463</v>
      </c>
      <c r="L57" s="267">
        <f t="shared" si="50"/>
        <v>13.931723195314767</v>
      </c>
      <c r="M57" s="267">
        <f t="shared" si="50"/>
        <v>6.5550155405684603</v>
      </c>
      <c r="N57" s="264"/>
    </row>
    <row r="58" spans="1:14" s="265" customFormat="1">
      <c r="A58" s="259" t="s">
        <v>435</v>
      </c>
      <c r="B58" s="260" t="s">
        <v>556</v>
      </c>
      <c r="C58" s="261" t="s">
        <v>557</v>
      </c>
      <c r="D58" s="262"/>
      <c r="E58" s="261" t="s">
        <v>558</v>
      </c>
      <c r="F58" s="263" t="s">
        <v>559</v>
      </c>
      <c r="G58" s="268">
        <f t="shared" ref="G58:M58" si="51">+k*RtRp*(1-2*a/RtRp)^0.5-0.5</f>
        <v>3.162140875046112</v>
      </c>
      <c r="H58" s="268">
        <f t="shared" si="51"/>
        <v>5.1242250846908304</v>
      </c>
      <c r="I58" s="269">
        <f t="shared" si="51"/>
        <v>7.7506467523721856</v>
      </c>
      <c r="J58" s="269">
        <f t="shared" si="51"/>
        <v>44.074923445278003</v>
      </c>
      <c r="K58" s="269">
        <f t="shared" si="51"/>
        <v>55.304351312117852</v>
      </c>
      <c r="L58" s="269">
        <f t="shared" si="51"/>
        <v>6.0359984188469031</v>
      </c>
      <c r="M58" s="269">
        <f t="shared" si="51"/>
        <v>9.9037603081722896</v>
      </c>
      <c r="N58" s="264"/>
    </row>
    <row r="59" spans="1:14" s="265" customFormat="1">
      <c r="A59" s="259" t="s">
        <v>435</v>
      </c>
      <c r="B59" s="260" t="s">
        <v>560</v>
      </c>
      <c r="C59" s="261" t="s">
        <v>561</v>
      </c>
      <c r="D59" s="262" t="s">
        <v>445</v>
      </c>
      <c r="E59" s="261" t="s">
        <v>562</v>
      </c>
      <c r="F59" s="263" t="s">
        <v>559</v>
      </c>
      <c r="G59" s="268">
        <f t="shared" ref="G59:M59" si="52">+ETA/TAN(QP_CM*PI()/180/2)</f>
        <v>6.3350899241094032</v>
      </c>
      <c r="H59" s="268">
        <f t="shared" si="52"/>
        <v>9.3844183118603226</v>
      </c>
      <c r="I59" s="269">
        <f t="shared" si="52"/>
        <v>13.562270918354091</v>
      </c>
      <c r="J59" s="269">
        <f t="shared" si="52"/>
        <v>66.188480147917801</v>
      </c>
      <c r="K59" s="269">
        <f t="shared" si="52"/>
        <v>82.255152746285106</v>
      </c>
      <c r="L59" s="269">
        <f t="shared" si="52"/>
        <v>11.526988213788732</v>
      </c>
      <c r="M59" s="269">
        <f t="shared" si="52"/>
        <v>17.390220197812297</v>
      </c>
      <c r="N59" s="264"/>
    </row>
    <row r="60" spans="1:14" s="265" customFormat="1">
      <c r="A60" s="259" t="s">
        <v>435</v>
      </c>
      <c r="B60" s="260" t="s">
        <v>563</v>
      </c>
      <c r="C60" s="261" t="s">
        <v>564</v>
      </c>
      <c r="D60" s="262"/>
      <c r="E60" s="261" t="s">
        <v>565</v>
      </c>
      <c r="F60" s="263" t="s">
        <v>187</v>
      </c>
      <c r="G60" s="268">
        <f t="shared" ref="G60:M60" si="53">+(Lmax+1/2)^2*(PI()/k^2)*10</f>
        <v>1777.2401730460522</v>
      </c>
      <c r="H60" s="268">
        <f t="shared" si="53"/>
        <v>1858.3601919549144</v>
      </c>
      <c r="I60" s="269">
        <f t="shared" si="53"/>
        <v>1880.652632484987</v>
      </c>
      <c r="J60" s="269">
        <f t="shared" si="53"/>
        <v>2537.7731164809329</v>
      </c>
      <c r="K60" s="269">
        <f t="shared" si="53"/>
        <v>2605.2534697793872</v>
      </c>
      <c r="L60" s="269">
        <f t="shared" si="53"/>
        <v>1657.1113986261992</v>
      </c>
      <c r="M60" s="269">
        <f t="shared" si="53"/>
        <v>1833.3243650759289</v>
      </c>
      <c r="N60" s="264"/>
    </row>
    <row r="61" spans="1:14" s="265" customFormat="1">
      <c r="A61" s="259" t="s">
        <v>435</v>
      </c>
      <c r="B61" s="260" t="s">
        <v>566</v>
      </c>
      <c r="C61" s="261" t="s">
        <v>567</v>
      </c>
      <c r="D61" s="262"/>
      <c r="E61" s="261" t="s">
        <v>568</v>
      </c>
      <c r="F61" s="263" t="s">
        <v>187</v>
      </c>
      <c r="G61" s="268">
        <f t="shared" ref="G61:M61" si="54">+PI()/k/k*(Lcr+0.5)^2*10</f>
        <v>510.18507516024704</v>
      </c>
      <c r="H61" s="268">
        <f t="shared" si="54"/>
        <v>601.66264247911738</v>
      </c>
      <c r="I61" s="269">
        <f t="shared" si="54"/>
        <v>647.40142613855244</v>
      </c>
      <c r="J61" s="269">
        <f t="shared" si="54"/>
        <v>1133.7893278653139</v>
      </c>
      <c r="K61" s="269">
        <f t="shared" si="54"/>
        <v>1184.6662663162588</v>
      </c>
      <c r="L61" s="269">
        <f t="shared" si="54"/>
        <v>489.39757250946639</v>
      </c>
      <c r="M61" s="269">
        <f t="shared" si="54"/>
        <v>619.99560964458726</v>
      </c>
      <c r="N61" s="264"/>
    </row>
    <row r="62" spans="1:14" s="265" customFormat="1">
      <c r="A62" s="259" t="s">
        <v>435</v>
      </c>
      <c r="B62" s="260" t="s">
        <v>569</v>
      </c>
      <c r="C62" s="261" t="s">
        <v>570</v>
      </c>
      <c r="D62" s="262"/>
      <c r="E62" s="261" t="s">
        <v>571</v>
      </c>
      <c r="F62" s="263" t="s">
        <v>187</v>
      </c>
      <c r="G62" s="268">
        <f t="shared" ref="G62:M62" si="55">+PI()*Rc_^2* (1- VC_Rc/Ecm)*10</f>
        <v>944.29568635655767</v>
      </c>
      <c r="H62" s="268">
        <f t="shared" si="55"/>
        <v>1063.6397702236727</v>
      </c>
      <c r="I62" s="269">
        <f t="shared" si="55"/>
        <v>1123.3118121572304</v>
      </c>
      <c r="J62" s="269">
        <f t="shared" si="55"/>
        <v>1952.3736668518004</v>
      </c>
      <c r="K62" s="269">
        <f t="shared" si="55"/>
        <v>2018.0479356095175</v>
      </c>
      <c r="L62" s="269">
        <f t="shared" si="55"/>
        <v>969.70780358701279</v>
      </c>
      <c r="M62" s="269">
        <f t="shared" si="55"/>
        <v>1142.3299899815722</v>
      </c>
      <c r="N62" s="264"/>
    </row>
    <row r="63" spans="1:14" s="270" customFormat="1">
      <c r="A63" s="259" t="s">
        <v>435</v>
      </c>
      <c r="B63" s="260" t="s">
        <v>572</v>
      </c>
      <c r="C63" s="261" t="s">
        <v>570</v>
      </c>
      <c r="D63" s="262"/>
      <c r="E63" s="261" t="s">
        <v>573</v>
      </c>
      <c r="F63" s="263" t="s">
        <v>187</v>
      </c>
      <c r="G63" s="268">
        <f t="shared" ref="G63:M63" si="56">+PI()*Rint^2* (1- VC /Ecm)*10</f>
        <v>1527.1380803064717</v>
      </c>
      <c r="H63" s="268">
        <f t="shared" si="56"/>
        <v>1675.3086295564515</v>
      </c>
      <c r="I63" s="269">
        <f t="shared" si="56"/>
        <v>1749.3939041814417</v>
      </c>
      <c r="J63" s="269">
        <f t="shared" si="56"/>
        <v>2500.1643515618634</v>
      </c>
      <c r="K63" s="269">
        <f t="shared" si="56"/>
        <v>2574.0689247618616</v>
      </c>
      <c r="L63" s="269">
        <f t="shared" si="56"/>
        <v>1522.765607390666</v>
      </c>
      <c r="M63" s="269">
        <f t="shared" si="56"/>
        <v>1732.5664954880247</v>
      </c>
      <c r="N63" s="264"/>
    </row>
    <row r="64" spans="1:14" s="265" customFormat="1">
      <c r="A64" s="259" t="s">
        <v>435</v>
      </c>
      <c r="B64" s="260" t="s">
        <v>574</v>
      </c>
      <c r="C64" s="261" t="s">
        <v>575</v>
      </c>
      <c r="D64" s="262"/>
      <c r="E64" s="261" t="s">
        <v>576</v>
      </c>
      <c r="F64" s="263" t="s">
        <v>447</v>
      </c>
      <c r="G64" s="266">
        <f t="shared" ref="G64:M64" si="57">+a*(1+1/SIN(QP_CM*PI()/180))</f>
        <v>4.1330664182783945</v>
      </c>
      <c r="H64" s="266">
        <f t="shared" si="57"/>
        <v>3.9675709584492092</v>
      </c>
      <c r="I64" s="267">
        <f t="shared" si="57"/>
        <v>3.887596193575261</v>
      </c>
      <c r="J64" s="267">
        <f t="shared" si="57"/>
        <v>4.8478815796247057</v>
      </c>
      <c r="K64" s="267">
        <f t="shared" si="57"/>
        <v>4.7823408129200979</v>
      </c>
      <c r="L64" s="267">
        <f t="shared" si="57"/>
        <v>4.3828314940483519</v>
      </c>
      <c r="M64" s="267">
        <f t="shared" si="57"/>
        <v>4.1502328909795381</v>
      </c>
      <c r="N64" s="264"/>
    </row>
    <row r="65" spans="1:14" s="265" customFormat="1">
      <c r="A65" s="259" t="s">
        <v>435</v>
      </c>
      <c r="B65" s="260" t="s">
        <v>577</v>
      </c>
      <c r="C65" s="261" t="s">
        <v>578</v>
      </c>
      <c r="D65" s="262"/>
      <c r="E65" s="261" t="s">
        <v>577</v>
      </c>
      <c r="F65" s="263" t="s">
        <v>447</v>
      </c>
      <c r="G65" s="266">
        <f t="shared" ref="G65:M65" si="58">+Dgr/AtAp3</f>
        <v>0.99726046787985101</v>
      </c>
      <c r="H65" s="266">
        <f t="shared" si="58"/>
        <v>0.95732835380315728</v>
      </c>
      <c r="I65" s="267">
        <f t="shared" si="58"/>
        <v>0.93803138071701064</v>
      </c>
      <c r="J65" s="267">
        <f t="shared" si="58"/>
        <v>0.84837344257285463</v>
      </c>
      <c r="K65" s="267">
        <f t="shared" si="58"/>
        <v>0.8369038872702359</v>
      </c>
      <c r="L65" s="267">
        <f t="shared" si="58"/>
        <v>0.99849436647974599</v>
      </c>
      <c r="M65" s="267">
        <f t="shared" si="58"/>
        <v>0.94550387502903654</v>
      </c>
      <c r="N65" s="264"/>
    </row>
    <row r="66" spans="1:14" s="265" customFormat="1">
      <c r="A66" s="259"/>
      <c r="B66" s="260" t="s">
        <v>579</v>
      </c>
      <c r="C66" s="261"/>
      <c r="D66" s="262"/>
      <c r="E66" s="261" t="s">
        <v>580</v>
      </c>
      <c r="F66" s="263" t="s">
        <v>447</v>
      </c>
      <c r="G66" s="271">
        <f t="shared" ref="G66:M66" si="59">197/SQRT(2*Ap*Elab*931)</f>
        <v>8.5034467477728429E-2</v>
      </c>
      <c r="H66" s="271">
        <f t="shared" si="59"/>
        <v>6.0128448588088704E-2</v>
      </c>
      <c r="I66" s="272">
        <f t="shared" si="59"/>
        <v>4.2517233738864214E-2</v>
      </c>
      <c r="J66" s="272">
        <f t="shared" si="59"/>
        <v>2.1278205081592633E-2</v>
      </c>
      <c r="K66" s="272">
        <f t="shared" si="59"/>
        <v>1.7373581697399353E-2</v>
      </c>
      <c r="L66" s="272">
        <f t="shared" si="59"/>
        <v>0.5102583633710206</v>
      </c>
      <c r="M66" s="272">
        <f t="shared" si="59"/>
        <v>0.36080714889679816</v>
      </c>
      <c r="N66" s="264"/>
    </row>
    <row r="67" spans="1:14" s="265" customFormat="1">
      <c r="A67" s="259"/>
      <c r="B67" s="260" t="s">
        <v>581</v>
      </c>
      <c r="C67" s="261"/>
      <c r="D67" s="262"/>
      <c r="E67" s="261" t="s">
        <v>582</v>
      </c>
      <c r="F67" s="263" t="s">
        <v>583</v>
      </c>
      <c r="G67" s="271">
        <f t="shared" ref="G67:M67" si="60">2*ASIN(PI()*WaveLength/2/Rt)*180/PI()</f>
        <v>10.30265729048017</v>
      </c>
      <c r="H67" s="271">
        <f t="shared" si="60"/>
        <v>7.2801645465167129</v>
      </c>
      <c r="I67" s="272">
        <f t="shared" si="60"/>
        <v>5.1461209971883228</v>
      </c>
      <c r="J67" s="272">
        <f t="shared" si="60"/>
        <v>1.6746977551224911</v>
      </c>
      <c r="K67" s="272">
        <f t="shared" si="60"/>
        <v>1.3673687652329531</v>
      </c>
      <c r="L67" s="272">
        <f t="shared" si="60"/>
        <v>29.848953004800855</v>
      </c>
      <c r="M67" s="272">
        <f t="shared" si="60"/>
        <v>20.985632224347128</v>
      </c>
      <c r="N67" s="264"/>
    </row>
    <row r="68" spans="1:14" s="265" customFormat="1">
      <c r="A68" s="259"/>
      <c r="B68" s="260" t="s">
        <v>584</v>
      </c>
      <c r="C68" s="261"/>
      <c r="D68" s="262"/>
      <c r="E68" s="261" t="s">
        <v>585</v>
      </c>
      <c r="F68" s="263" t="s">
        <v>583</v>
      </c>
      <c r="G68" s="271">
        <f t="shared" ref="G68:M68" si="61">2*ASIN(PI()*WaveLength/Rt)*180/PI()</f>
        <v>20.689794430204458</v>
      </c>
      <c r="H68" s="271">
        <f t="shared" si="61"/>
        <v>14.589923015702693</v>
      </c>
      <c r="I68" s="272">
        <f t="shared" si="61"/>
        <v>10.30265729048017</v>
      </c>
      <c r="J68" s="272">
        <f t="shared" si="61"/>
        <v>3.3497533317443353</v>
      </c>
      <c r="K68" s="272">
        <f t="shared" si="61"/>
        <v>2.7349322726089449</v>
      </c>
      <c r="L68" s="272">
        <f t="shared" si="61"/>
        <v>62.007102564246601</v>
      </c>
      <c r="M68" s="272">
        <f t="shared" si="61"/>
        <v>42.719727621456634</v>
      </c>
      <c r="N68" s="264"/>
    </row>
    <row r="69" spans="1:14" s="281" customFormat="1" ht="13.5" thickBot="1">
      <c r="A69" s="273" t="s">
        <v>435</v>
      </c>
      <c r="B69" s="274" t="s">
        <v>586</v>
      </c>
      <c r="C69" s="275" t="s">
        <v>587</v>
      </c>
      <c r="D69" s="276"/>
      <c r="E69" s="275" t="s">
        <v>588</v>
      </c>
      <c r="F69" s="277" t="s">
        <v>447</v>
      </c>
      <c r="G69" s="278">
        <f t="shared" ref="G69:M69" si="62">+a*COS(0.5*PI()/180*Qgr)</f>
        <v>0.6174741243946601</v>
      </c>
      <c r="H69" s="278">
        <f t="shared" si="62"/>
        <v>0.30967648223331296</v>
      </c>
      <c r="I69" s="279">
        <f t="shared" si="62"/>
        <v>0.15494425816311072</v>
      </c>
      <c r="J69" s="279">
        <f t="shared" si="62"/>
        <v>0.37927391254383475</v>
      </c>
      <c r="K69" s="279">
        <f t="shared" si="62"/>
        <v>0.2529792651645616</v>
      </c>
      <c r="L69" s="279">
        <f t="shared" si="62"/>
        <v>0.84419286084240186</v>
      </c>
      <c r="M69" s="279">
        <f t="shared" si="62"/>
        <v>0.42453972538532064</v>
      </c>
      <c r="N69" s="280"/>
    </row>
    <row r="70" spans="1:14" ht="13.5" thickTop="1">
      <c r="A70" s="246"/>
      <c r="C70" s="246"/>
      <c r="D70" s="248"/>
      <c r="E70" s="246"/>
      <c r="F70" s="246"/>
      <c r="G70" s="248"/>
      <c r="H70" s="248"/>
      <c r="I70" s="248"/>
      <c r="J70" s="248"/>
      <c r="K70" s="248"/>
      <c r="L70" s="248"/>
      <c r="M70" s="248"/>
    </row>
    <row r="71" spans="1:14">
      <c r="A71" s="246"/>
      <c r="C71" s="246"/>
      <c r="D71" s="248"/>
      <c r="E71" s="246"/>
      <c r="F71" s="246"/>
      <c r="G71" s="248"/>
      <c r="H71" s="248"/>
      <c r="I71" s="248"/>
      <c r="J71" s="248"/>
      <c r="K71" s="248"/>
      <c r="L71" s="248"/>
      <c r="M71" s="248"/>
    </row>
    <row r="72" spans="1:14">
      <c r="A72" s="246"/>
      <c r="C72" s="246"/>
      <c r="D72" s="248"/>
      <c r="E72" s="246"/>
      <c r="F72" s="246"/>
      <c r="G72" s="248"/>
      <c r="H72" s="248"/>
      <c r="I72" s="248"/>
      <c r="J72" s="248"/>
      <c r="K72" s="248"/>
      <c r="L72" s="248"/>
      <c r="M72" s="248"/>
    </row>
    <row r="73" spans="1:14">
      <c r="A73" s="246"/>
      <c r="C73" s="246"/>
      <c r="D73" s="248"/>
      <c r="E73" s="246"/>
      <c r="F73" s="246"/>
      <c r="G73" s="248"/>
      <c r="H73" s="248"/>
      <c r="I73" s="248"/>
      <c r="J73" s="248"/>
      <c r="K73" s="248"/>
      <c r="L73" s="248"/>
      <c r="M73" s="248"/>
    </row>
    <row r="74" spans="1:14">
      <c r="A74" s="246"/>
      <c r="C74" s="246"/>
      <c r="D74" s="248"/>
      <c r="E74" s="246"/>
      <c r="F74" s="246"/>
      <c r="G74" s="248"/>
      <c r="H74" s="248"/>
      <c r="I74" s="248"/>
      <c r="J74" s="248"/>
      <c r="K74" s="248"/>
      <c r="L74" s="248"/>
      <c r="M74" s="248"/>
    </row>
    <row r="75" spans="1:14">
      <c r="A75" s="246"/>
      <c r="C75" s="246"/>
      <c r="D75" s="248"/>
      <c r="E75" s="246"/>
      <c r="F75" s="246"/>
      <c r="G75" s="248"/>
      <c r="H75" s="248"/>
      <c r="I75" s="248"/>
      <c r="J75" s="248"/>
      <c r="K75" s="248"/>
      <c r="L75" s="248"/>
      <c r="M75" s="248"/>
    </row>
    <row r="76" spans="1:14">
      <c r="A76" s="246"/>
      <c r="C76" s="246"/>
      <c r="D76" s="248"/>
      <c r="E76" s="246"/>
      <c r="F76" s="246"/>
      <c r="G76" s="248"/>
      <c r="H76" s="248"/>
      <c r="I76" s="248"/>
      <c r="J76" s="248"/>
      <c r="K76" s="248"/>
      <c r="L76" s="248"/>
      <c r="M76" s="248"/>
    </row>
    <row r="77" spans="1:14">
      <c r="A77" s="246"/>
      <c r="C77" s="246"/>
      <c r="D77" s="248"/>
      <c r="E77" s="246"/>
      <c r="F77" s="246"/>
      <c r="G77" s="248"/>
      <c r="H77" s="248"/>
      <c r="I77" s="248"/>
      <c r="J77" s="248"/>
      <c r="K77" s="248"/>
      <c r="L77" s="248"/>
      <c r="M77" s="248"/>
    </row>
    <row r="78" spans="1:14">
      <c r="A78" s="246"/>
      <c r="C78" s="246"/>
      <c r="D78" s="248"/>
      <c r="E78" s="246"/>
      <c r="F78" s="246"/>
      <c r="G78" s="248"/>
      <c r="H78" s="248"/>
      <c r="I78" s="248"/>
      <c r="J78" s="248"/>
      <c r="K78" s="248"/>
      <c r="L78" s="248"/>
      <c r="M78" s="248"/>
    </row>
    <row r="79" spans="1:14">
      <c r="A79" s="246"/>
      <c r="C79" s="246"/>
      <c r="D79" s="248"/>
      <c r="E79" s="246"/>
      <c r="F79" s="246"/>
      <c r="G79" s="248"/>
      <c r="H79" s="248"/>
      <c r="I79" s="248"/>
      <c r="J79" s="248"/>
      <c r="K79" s="248"/>
      <c r="L79" s="248"/>
      <c r="M79" s="248"/>
    </row>
    <row r="80" spans="1:14">
      <c r="A80" s="246"/>
      <c r="C80" s="246"/>
      <c r="D80" s="248"/>
      <c r="E80" s="246"/>
      <c r="F80" s="246"/>
      <c r="G80" s="248"/>
      <c r="H80" s="248"/>
      <c r="I80" s="248"/>
      <c r="J80" s="248"/>
      <c r="K80" s="248"/>
      <c r="L80" s="248"/>
      <c r="M80" s="248"/>
    </row>
    <row r="81" spans="1:13">
      <c r="A81" s="246"/>
      <c r="C81" s="246"/>
      <c r="D81" s="248"/>
      <c r="E81" s="246"/>
      <c r="F81" s="246"/>
      <c r="G81" s="248"/>
      <c r="H81" s="248"/>
      <c r="I81" s="248"/>
      <c r="J81" s="248"/>
      <c r="K81" s="248"/>
      <c r="L81" s="248"/>
      <c r="M81" s="248"/>
    </row>
    <row r="82" spans="1:13">
      <c r="A82" s="246"/>
      <c r="C82" s="246"/>
      <c r="D82" s="248"/>
      <c r="E82" s="246"/>
      <c r="F82" s="246"/>
      <c r="G82" s="248"/>
      <c r="H82" s="248"/>
      <c r="I82" s="248"/>
      <c r="J82" s="248"/>
      <c r="K82" s="248"/>
      <c r="L82" s="248"/>
      <c r="M82" s="248"/>
    </row>
    <row r="83" spans="1:13">
      <c r="A83" s="246"/>
      <c r="C83" s="246"/>
      <c r="D83" s="248"/>
      <c r="E83" s="246"/>
      <c r="F83" s="246"/>
      <c r="G83" s="248"/>
      <c r="H83" s="248"/>
      <c r="I83" s="248"/>
      <c r="J83" s="248"/>
      <c r="K83" s="248"/>
      <c r="L83" s="248"/>
      <c r="M83" s="248"/>
    </row>
    <row r="84" spans="1:13">
      <c r="A84" s="246"/>
      <c r="C84" s="246"/>
      <c r="D84" s="248"/>
      <c r="E84" s="246"/>
      <c r="F84" s="246"/>
      <c r="G84" s="248"/>
      <c r="H84" s="248"/>
      <c r="I84" s="248"/>
      <c r="J84" s="248"/>
      <c r="K84" s="248"/>
      <c r="L84" s="248"/>
      <c r="M84" s="248"/>
    </row>
    <row r="85" spans="1:13">
      <c r="A85" s="246"/>
      <c r="C85" s="246"/>
      <c r="D85" s="248"/>
      <c r="E85" s="246"/>
      <c r="F85" s="246"/>
      <c r="G85" s="248"/>
      <c r="H85" s="248"/>
      <c r="I85" s="248"/>
      <c r="J85" s="248"/>
      <c r="K85" s="248"/>
      <c r="L85" s="248"/>
      <c r="M85" s="248"/>
    </row>
    <row r="86" spans="1:13">
      <c r="A86" s="250" t="s">
        <v>435</v>
      </c>
      <c r="B86" s="251" t="s">
        <v>435</v>
      </c>
      <c r="C86" s="252" t="s">
        <v>435</v>
      </c>
      <c r="E86" s="252" t="s">
        <v>435</v>
      </c>
      <c r="F86" s="254" t="s">
        <v>435</v>
      </c>
      <c r="G86" s="255"/>
      <c r="H86" s="255"/>
      <c r="I86" s="255"/>
      <c r="J86" s="255"/>
      <c r="K86" s="255"/>
      <c r="L86" s="255"/>
      <c r="M86" s="255"/>
    </row>
    <row r="87" spans="1:13">
      <c r="A87" s="250" t="s">
        <v>435</v>
      </c>
      <c r="B87" s="251" t="s">
        <v>435</v>
      </c>
      <c r="C87" s="252" t="s">
        <v>435</v>
      </c>
      <c r="E87" s="252" t="s">
        <v>435</v>
      </c>
      <c r="F87" s="254" t="s">
        <v>435</v>
      </c>
      <c r="G87" s="255"/>
      <c r="H87" s="255"/>
      <c r="I87" s="255"/>
      <c r="J87" s="255"/>
      <c r="K87" s="255"/>
      <c r="L87" s="255"/>
      <c r="M87" s="255"/>
    </row>
    <row r="88" spans="1:13">
      <c r="A88" s="250" t="s">
        <v>435</v>
      </c>
      <c r="B88" s="251" t="s">
        <v>435</v>
      </c>
      <c r="C88" s="252" t="s">
        <v>435</v>
      </c>
      <c r="E88" s="252" t="s">
        <v>435</v>
      </c>
      <c r="F88" s="254" t="s">
        <v>435</v>
      </c>
      <c r="G88" s="255"/>
      <c r="H88" s="255"/>
      <c r="I88" s="255"/>
      <c r="J88" s="255"/>
      <c r="K88" s="255"/>
      <c r="L88" s="255"/>
      <c r="M88" s="255"/>
    </row>
    <row r="89" spans="1:13">
      <c r="A89" s="250" t="s">
        <v>435</v>
      </c>
      <c r="B89" s="251" t="s">
        <v>435</v>
      </c>
      <c r="C89" s="252" t="s">
        <v>435</v>
      </c>
      <c r="E89" s="252" t="s">
        <v>435</v>
      </c>
      <c r="F89" s="254" t="s">
        <v>435</v>
      </c>
      <c r="G89" s="255"/>
      <c r="H89" s="255"/>
      <c r="I89" s="255"/>
      <c r="J89" s="255"/>
      <c r="K89" s="255"/>
      <c r="L89" s="255"/>
      <c r="M89" s="255"/>
    </row>
    <row r="90" spans="1:13">
      <c r="A90" s="250" t="s">
        <v>435</v>
      </c>
      <c r="B90" s="251" t="s">
        <v>435</v>
      </c>
      <c r="C90" s="252" t="s">
        <v>435</v>
      </c>
      <c r="E90" s="252" t="s">
        <v>435</v>
      </c>
      <c r="F90" s="254" t="s">
        <v>435</v>
      </c>
      <c r="G90" s="255"/>
      <c r="H90" s="255"/>
      <c r="I90" s="255"/>
      <c r="J90" s="255"/>
      <c r="K90" s="255"/>
      <c r="L90" s="255"/>
      <c r="M90" s="255"/>
    </row>
    <row r="91" spans="1:13">
      <c r="A91" s="250" t="s">
        <v>435</v>
      </c>
      <c r="B91" s="251" t="s">
        <v>435</v>
      </c>
      <c r="C91" s="252" t="s">
        <v>435</v>
      </c>
      <c r="E91" s="252" t="s">
        <v>435</v>
      </c>
      <c r="F91" s="254" t="s">
        <v>435</v>
      </c>
      <c r="G91" s="255"/>
      <c r="H91" s="255"/>
      <c r="I91" s="255"/>
      <c r="J91" s="255"/>
      <c r="K91" s="255"/>
      <c r="L91" s="255"/>
      <c r="M91" s="255"/>
    </row>
    <row r="92" spans="1:13">
      <c r="A92" s="250" t="s">
        <v>435</v>
      </c>
      <c r="B92" s="251" t="s">
        <v>435</v>
      </c>
      <c r="C92" s="252" t="s">
        <v>435</v>
      </c>
      <c r="E92" s="252" t="s">
        <v>435</v>
      </c>
      <c r="F92" s="254" t="s">
        <v>435</v>
      </c>
      <c r="G92" s="255"/>
      <c r="H92" s="255"/>
      <c r="I92" s="255"/>
      <c r="J92" s="255"/>
      <c r="K92" s="255"/>
      <c r="L92" s="255"/>
      <c r="M92" s="255"/>
    </row>
    <row r="93" spans="1:13">
      <c r="A93" s="250" t="s">
        <v>435</v>
      </c>
      <c r="B93" s="251" t="s">
        <v>435</v>
      </c>
      <c r="C93" s="252" t="s">
        <v>435</v>
      </c>
      <c r="E93" s="252" t="s">
        <v>435</v>
      </c>
      <c r="F93" s="254" t="s">
        <v>435</v>
      </c>
      <c r="G93" s="255"/>
      <c r="H93" s="255"/>
      <c r="I93" s="255"/>
      <c r="J93" s="255"/>
      <c r="K93" s="255"/>
      <c r="L93" s="255"/>
      <c r="M93" s="255"/>
    </row>
    <row r="94" spans="1:13">
      <c r="A94" s="250" t="s">
        <v>435</v>
      </c>
      <c r="B94" s="251" t="s">
        <v>435</v>
      </c>
      <c r="C94" s="252" t="s">
        <v>435</v>
      </c>
      <c r="E94" s="252" t="s">
        <v>435</v>
      </c>
      <c r="F94" s="254" t="s">
        <v>435</v>
      </c>
      <c r="G94" s="255"/>
      <c r="H94" s="255"/>
      <c r="I94" s="255"/>
      <c r="J94" s="255"/>
      <c r="K94" s="255"/>
      <c r="L94" s="255"/>
      <c r="M94" s="255"/>
    </row>
    <row r="95" spans="1:13">
      <c r="A95" s="250" t="s">
        <v>435</v>
      </c>
      <c r="B95" s="251" t="s">
        <v>435</v>
      </c>
      <c r="C95" s="252" t="s">
        <v>435</v>
      </c>
      <c r="E95" s="252" t="s">
        <v>435</v>
      </c>
      <c r="F95" s="254" t="s">
        <v>435</v>
      </c>
      <c r="G95" s="255"/>
      <c r="H95" s="255"/>
      <c r="I95" s="255"/>
      <c r="J95" s="255"/>
      <c r="K95" s="255"/>
      <c r="L95" s="255"/>
      <c r="M95" s="255"/>
    </row>
    <row r="96" spans="1:13">
      <c r="A96" s="250" t="s">
        <v>435</v>
      </c>
      <c r="B96" s="251" t="s">
        <v>435</v>
      </c>
      <c r="C96" s="252" t="s">
        <v>435</v>
      </c>
      <c r="E96" s="252" t="s">
        <v>435</v>
      </c>
      <c r="F96" s="254" t="s">
        <v>435</v>
      </c>
      <c r="G96" s="255"/>
      <c r="H96" s="255"/>
      <c r="I96" s="255"/>
      <c r="J96" s="255"/>
      <c r="K96" s="255"/>
      <c r="L96" s="255"/>
      <c r="M96" s="255"/>
    </row>
    <row r="97" spans="1:13">
      <c r="A97" s="250" t="s">
        <v>435</v>
      </c>
      <c r="B97" s="251" t="s">
        <v>435</v>
      </c>
      <c r="C97" s="252" t="s">
        <v>435</v>
      </c>
      <c r="E97" s="252" t="s">
        <v>435</v>
      </c>
      <c r="F97" s="254" t="s">
        <v>435</v>
      </c>
      <c r="G97" s="255"/>
      <c r="H97" s="255"/>
      <c r="I97" s="255"/>
      <c r="J97" s="255"/>
      <c r="K97" s="255"/>
      <c r="L97" s="255"/>
      <c r="M97" s="255"/>
    </row>
    <row r="98" spans="1:13">
      <c r="A98" s="250" t="s">
        <v>435</v>
      </c>
      <c r="B98" s="251" t="s">
        <v>435</v>
      </c>
      <c r="C98" s="252" t="s">
        <v>435</v>
      </c>
      <c r="E98" s="252" t="s">
        <v>435</v>
      </c>
      <c r="F98" s="254" t="s">
        <v>435</v>
      </c>
      <c r="G98" s="255"/>
      <c r="H98" s="255"/>
      <c r="I98" s="255"/>
      <c r="J98" s="255"/>
      <c r="K98" s="255"/>
      <c r="L98" s="255"/>
      <c r="M98" s="255"/>
    </row>
    <row r="99" spans="1:13">
      <c r="A99" s="250" t="s">
        <v>435</v>
      </c>
      <c r="B99" s="251" t="s">
        <v>435</v>
      </c>
      <c r="C99" s="252" t="s">
        <v>435</v>
      </c>
      <c r="E99" s="252" t="s">
        <v>435</v>
      </c>
      <c r="F99" s="254" t="s">
        <v>435</v>
      </c>
      <c r="G99" s="255"/>
      <c r="H99" s="255"/>
      <c r="I99" s="255"/>
      <c r="J99" s="255"/>
      <c r="K99" s="255"/>
      <c r="L99" s="255"/>
      <c r="M99" s="255"/>
    </row>
    <row r="100" spans="1:13">
      <c r="A100" s="250" t="s">
        <v>435</v>
      </c>
      <c r="B100" s="251" t="s">
        <v>435</v>
      </c>
      <c r="C100" s="252" t="s">
        <v>435</v>
      </c>
      <c r="E100" s="252" t="s">
        <v>435</v>
      </c>
      <c r="F100" s="254" t="s">
        <v>435</v>
      </c>
      <c r="G100" s="255"/>
      <c r="H100" s="255"/>
      <c r="I100" s="255"/>
      <c r="J100" s="255"/>
      <c r="K100" s="255"/>
      <c r="L100" s="255"/>
      <c r="M100" s="255"/>
    </row>
    <row r="101" spans="1:13">
      <c r="A101" s="250" t="s">
        <v>435</v>
      </c>
      <c r="B101" s="251" t="s">
        <v>435</v>
      </c>
      <c r="C101" s="252" t="s">
        <v>435</v>
      </c>
      <c r="E101" s="252" t="s">
        <v>435</v>
      </c>
      <c r="F101" s="254" t="s">
        <v>435</v>
      </c>
      <c r="G101" s="255"/>
      <c r="H101" s="255"/>
      <c r="I101" s="255"/>
      <c r="J101" s="255"/>
      <c r="K101" s="255"/>
      <c r="L101" s="255"/>
      <c r="M101" s="255"/>
    </row>
    <row r="102" spans="1:13">
      <c r="A102" s="250" t="s">
        <v>435</v>
      </c>
      <c r="B102" s="251" t="s">
        <v>435</v>
      </c>
      <c r="C102" s="252" t="s">
        <v>435</v>
      </c>
      <c r="E102" s="252" t="s">
        <v>435</v>
      </c>
      <c r="F102" s="254" t="s">
        <v>435</v>
      </c>
      <c r="G102" s="255"/>
      <c r="H102" s="255"/>
      <c r="I102" s="255"/>
      <c r="J102" s="255"/>
      <c r="K102" s="255"/>
      <c r="L102" s="255"/>
      <c r="M102" s="255"/>
    </row>
    <row r="103" spans="1:13">
      <c r="A103" s="250" t="s">
        <v>435</v>
      </c>
      <c r="B103" s="251" t="s">
        <v>435</v>
      </c>
      <c r="C103" s="252" t="s">
        <v>435</v>
      </c>
      <c r="E103" s="252" t="s">
        <v>435</v>
      </c>
      <c r="F103" s="254" t="s">
        <v>435</v>
      </c>
      <c r="G103" s="255"/>
      <c r="H103" s="255"/>
      <c r="I103" s="255"/>
      <c r="J103" s="255"/>
      <c r="K103" s="255"/>
      <c r="L103" s="255"/>
      <c r="M103" s="255"/>
    </row>
    <row r="104" spans="1:13">
      <c r="A104" s="250" t="s">
        <v>435</v>
      </c>
      <c r="B104" s="251" t="s">
        <v>435</v>
      </c>
      <c r="C104" s="252" t="s">
        <v>435</v>
      </c>
      <c r="E104" s="252" t="s">
        <v>435</v>
      </c>
      <c r="F104" s="254" t="s">
        <v>435</v>
      </c>
      <c r="G104" s="255"/>
      <c r="H104" s="255"/>
      <c r="I104" s="255"/>
      <c r="J104" s="255"/>
      <c r="K104" s="255"/>
      <c r="L104" s="255"/>
      <c r="M104" s="255"/>
    </row>
    <row r="105" spans="1:13">
      <c r="A105" s="250" t="s">
        <v>435</v>
      </c>
      <c r="B105" s="251" t="s">
        <v>435</v>
      </c>
      <c r="C105" s="252" t="s">
        <v>435</v>
      </c>
      <c r="E105" s="252" t="s">
        <v>435</v>
      </c>
      <c r="F105" s="254" t="s">
        <v>435</v>
      </c>
      <c r="G105" s="255"/>
      <c r="H105" s="255"/>
      <c r="I105" s="255"/>
      <c r="J105" s="255"/>
      <c r="K105" s="255"/>
      <c r="L105" s="255"/>
      <c r="M105" s="255"/>
    </row>
    <row r="106" spans="1:13">
      <c r="A106" s="250" t="s">
        <v>435</v>
      </c>
      <c r="B106" s="251" t="s">
        <v>435</v>
      </c>
      <c r="C106" s="252" t="s">
        <v>435</v>
      </c>
      <c r="E106" s="252" t="s">
        <v>435</v>
      </c>
      <c r="F106" s="254" t="s">
        <v>435</v>
      </c>
      <c r="G106" s="255"/>
      <c r="H106" s="255"/>
      <c r="I106" s="255"/>
      <c r="J106" s="255"/>
      <c r="K106" s="255"/>
      <c r="L106" s="255"/>
      <c r="M106" s="255"/>
    </row>
    <row r="107" spans="1:13">
      <c r="A107" s="250" t="s">
        <v>435</v>
      </c>
      <c r="B107" s="251" t="s">
        <v>435</v>
      </c>
      <c r="C107" s="252" t="s">
        <v>435</v>
      </c>
      <c r="E107" s="252" t="s">
        <v>435</v>
      </c>
      <c r="F107" s="254" t="s">
        <v>435</v>
      </c>
      <c r="G107" s="255"/>
      <c r="H107" s="255"/>
      <c r="I107" s="255"/>
      <c r="J107" s="255"/>
      <c r="K107" s="255"/>
      <c r="L107" s="255"/>
      <c r="M107" s="255"/>
    </row>
    <row r="108" spans="1:13">
      <c r="A108" s="250" t="s">
        <v>435</v>
      </c>
      <c r="B108" s="251" t="s">
        <v>435</v>
      </c>
      <c r="C108" s="252" t="s">
        <v>435</v>
      </c>
      <c r="E108" s="252" t="s">
        <v>435</v>
      </c>
      <c r="F108" s="254" t="s">
        <v>435</v>
      </c>
      <c r="G108" s="255"/>
      <c r="H108" s="255"/>
      <c r="I108" s="255"/>
      <c r="J108" s="255"/>
      <c r="K108" s="255"/>
      <c r="L108" s="255"/>
      <c r="M108" s="255"/>
    </row>
    <row r="109" spans="1:13">
      <c r="A109" s="250" t="s">
        <v>435</v>
      </c>
      <c r="B109" s="251" t="s">
        <v>435</v>
      </c>
      <c r="C109" s="252" t="s">
        <v>435</v>
      </c>
      <c r="E109" s="252" t="s">
        <v>435</v>
      </c>
      <c r="F109" s="254" t="s">
        <v>435</v>
      </c>
      <c r="G109" s="255"/>
      <c r="H109" s="255"/>
      <c r="I109" s="255"/>
      <c r="J109" s="255"/>
      <c r="K109" s="255"/>
      <c r="L109" s="255"/>
      <c r="M109" s="255"/>
    </row>
    <row r="110" spans="1:13">
      <c r="A110" s="250" t="s">
        <v>435</v>
      </c>
      <c r="B110" s="251" t="s">
        <v>435</v>
      </c>
      <c r="C110" s="252" t="s">
        <v>435</v>
      </c>
      <c r="E110" s="252" t="s">
        <v>435</v>
      </c>
      <c r="F110" s="254" t="s">
        <v>435</v>
      </c>
      <c r="G110" s="255"/>
      <c r="H110" s="255"/>
      <c r="I110" s="255"/>
      <c r="J110" s="255"/>
      <c r="K110" s="255"/>
      <c r="L110" s="255"/>
      <c r="M110" s="255"/>
    </row>
    <row r="111" spans="1:13">
      <c r="A111" s="250" t="s">
        <v>435</v>
      </c>
      <c r="B111" s="251" t="s">
        <v>435</v>
      </c>
      <c r="C111" s="252" t="s">
        <v>435</v>
      </c>
      <c r="E111" s="252" t="s">
        <v>435</v>
      </c>
      <c r="F111" s="254" t="s">
        <v>435</v>
      </c>
      <c r="G111" s="255"/>
      <c r="H111" s="255"/>
      <c r="I111" s="255"/>
      <c r="J111" s="255"/>
      <c r="K111" s="255"/>
      <c r="L111" s="255"/>
      <c r="M111" s="255"/>
    </row>
    <row r="112" spans="1:13">
      <c r="A112" s="250" t="s">
        <v>435</v>
      </c>
      <c r="B112" s="251" t="s">
        <v>435</v>
      </c>
      <c r="C112" s="252" t="s">
        <v>435</v>
      </c>
      <c r="E112" s="252" t="s">
        <v>435</v>
      </c>
      <c r="F112" s="254" t="s">
        <v>435</v>
      </c>
      <c r="G112" s="255"/>
      <c r="H112" s="255"/>
      <c r="I112" s="255"/>
      <c r="J112" s="255"/>
      <c r="K112" s="255"/>
      <c r="L112" s="255"/>
      <c r="M112" s="255"/>
    </row>
    <row r="113" spans="1:13">
      <c r="A113" s="250" t="s">
        <v>435</v>
      </c>
      <c r="B113" s="251" t="s">
        <v>435</v>
      </c>
      <c r="C113" s="252" t="s">
        <v>435</v>
      </c>
      <c r="E113" s="252" t="s">
        <v>435</v>
      </c>
      <c r="F113" s="254" t="s">
        <v>435</v>
      </c>
      <c r="G113" s="255"/>
      <c r="H113" s="255"/>
      <c r="I113" s="255"/>
      <c r="J113" s="255"/>
      <c r="K113" s="255"/>
      <c r="L113" s="255"/>
      <c r="M113" s="255"/>
    </row>
    <row r="114" spans="1:13">
      <c r="A114" s="250" t="s">
        <v>435</v>
      </c>
      <c r="B114" s="251" t="s">
        <v>435</v>
      </c>
      <c r="C114" s="252" t="s">
        <v>435</v>
      </c>
      <c r="E114" s="252" t="s">
        <v>435</v>
      </c>
      <c r="F114" s="254" t="s">
        <v>435</v>
      </c>
      <c r="G114" s="255"/>
      <c r="H114" s="255"/>
      <c r="I114" s="255"/>
      <c r="J114" s="255"/>
      <c r="K114" s="255"/>
      <c r="L114" s="255"/>
      <c r="M114" s="255"/>
    </row>
    <row r="115" spans="1:13">
      <c r="A115" s="250" t="s">
        <v>435</v>
      </c>
      <c r="B115" s="251" t="s">
        <v>435</v>
      </c>
      <c r="C115" s="252" t="s">
        <v>435</v>
      </c>
      <c r="E115" s="252" t="s">
        <v>435</v>
      </c>
      <c r="F115" s="254" t="s">
        <v>435</v>
      </c>
      <c r="G115" s="255"/>
      <c r="H115" s="255"/>
      <c r="I115" s="255"/>
      <c r="J115" s="255"/>
      <c r="K115" s="255"/>
      <c r="L115" s="255"/>
      <c r="M115" s="255"/>
    </row>
    <row r="116" spans="1:13">
      <c r="A116" s="250" t="s">
        <v>435</v>
      </c>
      <c r="B116" s="251" t="s">
        <v>435</v>
      </c>
      <c r="C116" s="252" t="s">
        <v>435</v>
      </c>
      <c r="E116" s="252" t="s">
        <v>435</v>
      </c>
      <c r="F116" s="254" t="s">
        <v>435</v>
      </c>
      <c r="G116" s="255"/>
      <c r="H116" s="255"/>
      <c r="I116" s="255"/>
      <c r="J116" s="255"/>
      <c r="K116" s="255"/>
      <c r="L116" s="255"/>
      <c r="M116" s="255"/>
    </row>
    <row r="117" spans="1:13">
      <c r="A117" s="250" t="s">
        <v>435</v>
      </c>
      <c r="B117" s="251" t="s">
        <v>435</v>
      </c>
      <c r="C117" s="252" t="s">
        <v>435</v>
      </c>
      <c r="E117" s="252" t="s">
        <v>435</v>
      </c>
      <c r="F117" s="254" t="s">
        <v>435</v>
      </c>
      <c r="G117" s="255"/>
      <c r="H117" s="255"/>
      <c r="I117" s="255"/>
      <c r="J117" s="255"/>
      <c r="K117" s="255"/>
      <c r="L117" s="255"/>
      <c r="M117" s="255"/>
    </row>
    <row r="118" spans="1:13">
      <c r="A118" s="250" t="s">
        <v>435</v>
      </c>
      <c r="B118" s="251" t="s">
        <v>435</v>
      </c>
      <c r="C118" s="252" t="s">
        <v>435</v>
      </c>
      <c r="E118" s="252" t="s">
        <v>435</v>
      </c>
      <c r="F118" s="254" t="s">
        <v>435</v>
      </c>
      <c r="G118" s="255"/>
      <c r="H118" s="255"/>
      <c r="I118" s="255"/>
      <c r="J118" s="255"/>
      <c r="K118" s="255"/>
      <c r="L118" s="255"/>
      <c r="M118" s="255"/>
    </row>
    <row r="119" spans="1:13">
      <c r="A119" s="250" t="s">
        <v>435</v>
      </c>
      <c r="B119" s="251" t="s">
        <v>435</v>
      </c>
      <c r="C119" s="252" t="s">
        <v>435</v>
      </c>
      <c r="E119" s="252" t="s">
        <v>435</v>
      </c>
      <c r="F119" s="254" t="s">
        <v>435</v>
      </c>
      <c r="G119" s="255"/>
      <c r="H119" s="255"/>
      <c r="I119" s="255"/>
      <c r="J119" s="255"/>
      <c r="K119" s="255"/>
      <c r="L119" s="255"/>
      <c r="M119" s="255"/>
    </row>
    <row r="120" spans="1:13">
      <c r="A120" s="250" t="s">
        <v>435</v>
      </c>
      <c r="B120" s="251" t="s">
        <v>435</v>
      </c>
      <c r="C120" s="252" t="s">
        <v>435</v>
      </c>
      <c r="E120" s="252" t="s">
        <v>435</v>
      </c>
      <c r="F120" s="254" t="s">
        <v>435</v>
      </c>
      <c r="G120" s="255"/>
      <c r="H120" s="255"/>
      <c r="I120" s="255"/>
      <c r="J120" s="255"/>
      <c r="K120" s="255"/>
      <c r="L120" s="255"/>
      <c r="M120" s="255"/>
    </row>
    <row r="121" spans="1:13">
      <c r="A121" s="250" t="s">
        <v>435</v>
      </c>
      <c r="B121" s="251" t="s">
        <v>435</v>
      </c>
      <c r="C121" s="252" t="s">
        <v>435</v>
      </c>
      <c r="E121" s="252" t="s">
        <v>435</v>
      </c>
      <c r="F121" s="254" t="s">
        <v>435</v>
      </c>
      <c r="G121" s="255"/>
      <c r="H121" s="255"/>
      <c r="I121" s="255"/>
      <c r="J121" s="255"/>
      <c r="K121" s="255"/>
      <c r="L121" s="255"/>
      <c r="M121" s="255"/>
    </row>
    <row r="122" spans="1:13">
      <c r="A122" s="250" t="s">
        <v>435</v>
      </c>
      <c r="B122" s="251" t="s">
        <v>435</v>
      </c>
      <c r="C122" s="252" t="s">
        <v>435</v>
      </c>
      <c r="E122" s="252" t="s">
        <v>435</v>
      </c>
      <c r="F122" s="254" t="s">
        <v>435</v>
      </c>
      <c r="G122" s="255"/>
      <c r="H122" s="255"/>
      <c r="I122" s="255"/>
      <c r="J122" s="255"/>
      <c r="K122" s="255"/>
      <c r="L122" s="255"/>
      <c r="M122" s="255"/>
    </row>
    <row r="123" spans="1:13">
      <c r="A123" s="250" t="s">
        <v>435</v>
      </c>
      <c r="B123" s="251" t="s">
        <v>435</v>
      </c>
      <c r="C123" s="252" t="s">
        <v>435</v>
      </c>
      <c r="E123" s="252" t="s">
        <v>435</v>
      </c>
      <c r="F123" s="254" t="s">
        <v>435</v>
      </c>
      <c r="G123" s="255"/>
      <c r="H123" s="255"/>
      <c r="I123" s="255"/>
      <c r="J123" s="255"/>
      <c r="K123" s="255"/>
      <c r="L123" s="255"/>
      <c r="M123" s="255"/>
    </row>
    <row r="124" spans="1:13">
      <c r="A124" s="250" t="s">
        <v>435</v>
      </c>
      <c r="B124" s="251" t="s">
        <v>435</v>
      </c>
      <c r="C124" s="252" t="s">
        <v>435</v>
      </c>
      <c r="E124" s="252" t="s">
        <v>435</v>
      </c>
      <c r="F124" s="254" t="s">
        <v>435</v>
      </c>
      <c r="G124" s="255"/>
      <c r="H124" s="255"/>
      <c r="I124" s="255"/>
      <c r="J124" s="255"/>
      <c r="K124" s="255"/>
      <c r="L124" s="255"/>
      <c r="M124" s="255"/>
    </row>
    <row r="125" spans="1:13">
      <c r="A125" s="250" t="s">
        <v>435</v>
      </c>
      <c r="B125" s="251" t="s">
        <v>435</v>
      </c>
      <c r="C125" s="252" t="s">
        <v>435</v>
      </c>
      <c r="E125" s="252" t="s">
        <v>435</v>
      </c>
      <c r="F125" s="254" t="s">
        <v>435</v>
      </c>
      <c r="G125" s="255"/>
      <c r="H125" s="255"/>
      <c r="I125" s="255"/>
      <c r="J125" s="255"/>
      <c r="K125" s="255"/>
      <c r="L125" s="255"/>
      <c r="M125" s="255"/>
    </row>
    <row r="126" spans="1:13">
      <c r="A126" s="250" t="s">
        <v>435</v>
      </c>
      <c r="B126" s="251" t="s">
        <v>435</v>
      </c>
      <c r="C126" s="252" t="s">
        <v>435</v>
      </c>
      <c r="E126" s="252" t="s">
        <v>435</v>
      </c>
      <c r="F126" s="254" t="s">
        <v>435</v>
      </c>
      <c r="G126" s="255"/>
      <c r="H126" s="255"/>
      <c r="I126" s="255"/>
      <c r="J126" s="255"/>
      <c r="K126" s="255"/>
      <c r="L126" s="255"/>
      <c r="M126" s="255"/>
    </row>
    <row r="127" spans="1:13">
      <c r="A127" s="250" t="s">
        <v>435</v>
      </c>
      <c r="B127" s="251" t="s">
        <v>435</v>
      </c>
      <c r="C127" s="252" t="s">
        <v>435</v>
      </c>
      <c r="E127" s="252" t="s">
        <v>435</v>
      </c>
      <c r="F127" s="254" t="s">
        <v>435</v>
      </c>
      <c r="G127" s="255"/>
      <c r="H127" s="255"/>
      <c r="I127" s="255"/>
      <c r="J127" s="255"/>
      <c r="K127" s="255"/>
      <c r="L127" s="255"/>
      <c r="M127" s="255"/>
    </row>
    <row r="128" spans="1:13">
      <c r="A128" s="250" t="s">
        <v>435</v>
      </c>
      <c r="B128" s="251" t="s">
        <v>435</v>
      </c>
      <c r="C128" s="252" t="s">
        <v>435</v>
      </c>
      <c r="E128" s="252" t="s">
        <v>435</v>
      </c>
      <c r="F128" s="254" t="s">
        <v>435</v>
      </c>
      <c r="G128" s="255"/>
      <c r="H128" s="255"/>
      <c r="I128" s="255"/>
      <c r="J128" s="255"/>
      <c r="K128" s="255"/>
      <c r="L128" s="255"/>
      <c r="M128" s="255"/>
    </row>
    <row r="129" spans="1:13">
      <c r="A129" s="250" t="s">
        <v>435</v>
      </c>
      <c r="B129" s="251" t="s">
        <v>435</v>
      </c>
      <c r="C129" s="252" t="s">
        <v>435</v>
      </c>
      <c r="E129" s="252" t="s">
        <v>435</v>
      </c>
      <c r="F129" s="254" t="s">
        <v>435</v>
      </c>
      <c r="G129" s="255"/>
      <c r="H129" s="255"/>
      <c r="I129" s="255"/>
      <c r="J129" s="255"/>
      <c r="K129" s="255"/>
      <c r="L129" s="255"/>
      <c r="M129" s="255"/>
    </row>
    <row r="130" spans="1:13">
      <c r="A130" s="250" t="s">
        <v>435</v>
      </c>
      <c r="B130" s="251" t="s">
        <v>435</v>
      </c>
      <c r="C130" s="252" t="s">
        <v>435</v>
      </c>
      <c r="E130" s="252" t="s">
        <v>435</v>
      </c>
      <c r="F130" s="254" t="s">
        <v>435</v>
      </c>
      <c r="G130" s="255"/>
      <c r="H130" s="255"/>
      <c r="I130" s="255"/>
      <c r="J130" s="255"/>
      <c r="K130" s="255"/>
      <c r="L130" s="255"/>
      <c r="M130" s="255"/>
    </row>
    <row r="131" spans="1:13">
      <c r="A131" s="250" t="s">
        <v>435</v>
      </c>
      <c r="B131" s="251" t="s">
        <v>435</v>
      </c>
      <c r="C131" s="252" t="s">
        <v>435</v>
      </c>
      <c r="E131" s="252" t="s">
        <v>435</v>
      </c>
      <c r="F131" s="254" t="s">
        <v>435</v>
      </c>
      <c r="G131" s="255"/>
      <c r="H131" s="255"/>
      <c r="I131" s="255"/>
      <c r="J131" s="255"/>
      <c r="K131" s="255"/>
      <c r="L131" s="255"/>
      <c r="M131" s="255"/>
    </row>
    <row r="132" spans="1:13">
      <c r="A132" s="250" t="s">
        <v>435</v>
      </c>
      <c r="B132" s="251" t="s">
        <v>435</v>
      </c>
      <c r="C132" s="252" t="s">
        <v>435</v>
      </c>
      <c r="E132" s="252" t="s">
        <v>435</v>
      </c>
      <c r="F132" s="254" t="s">
        <v>435</v>
      </c>
      <c r="G132" s="255"/>
      <c r="H132" s="255"/>
      <c r="I132" s="255"/>
      <c r="J132" s="255"/>
      <c r="K132" s="255"/>
      <c r="L132" s="255"/>
      <c r="M132" s="255"/>
    </row>
    <row r="133" spans="1:13">
      <c r="A133" s="250" t="s">
        <v>435</v>
      </c>
      <c r="B133" s="251" t="s">
        <v>435</v>
      </c>
      <c r="C133" s="252" t="s">
        <v>435</v>
      </c>
      <c r="E133" s="252" t="s">
        <v>435</v>
      </c>
      <c r="F133" s="254" t="s">
        <v>435</v>
      </c>
      <c r="G133" s="255"/>
      <c r="H133" s="255"/>
      <c r="I133" s="255"/>
      <c r="J133" s="255"/>
      <c r="K133" s="255"/>
      <c r="L133" s="255"/>
      <c r="M133" s="255"/>
    </row>
    <row r="134" spans="1:13">
      <c r="A134" s="250" t="s">
        <v>435</v>
      </c>
      <c r="B134" s="251" t="s">
        <v>435</v>
      </c>
      <c r="C134" s="252" t="s">
        <v>435</v>
      </c>
      <c r="E134" s="252" t="s">
        <v>435</v>
      </c>
      <c r="F134" s="254" t="s">
        <v>435</v>
      </c>
      <c r="G134" s="255"/>
      <c r="H134" s="255"/>
      <c r="I134" s="255"/>
      <c r="J134" s="255"/>
      <c r="K134" s="255"/>
      <c r="L134" s="255"/>
      <c r="M134" s="255"/>
    </row>
    <row r="135" spans="1:13">
      <c r="A135" s="250" t="s">
        <v>435</v>
      </c>
      <c r="B135" s="251" t="s">
        <v>435</v>
      </c>
      <c r="C135" s="252" t="s">
        <v>435</v>
      </c>
      <c r="E135" s="252" t="s">
        <v>435</v>
      </c>
      <c r="F135" s="254" t="s">
        <v>435</v>
      </c>
      <c r="G135" s="255"/>
      <c r="H135" s="255"/>
      <c r="I135" s="255"/>
      <c r="J135" s="255"/>
      <c r="K135" s="255"/>
      <c r="L135" s="255"/>
      <c r="M135" s="255"/>
    </row>
  </sheetData>
  <sheetProtection password="CA15" sheet="1" objects="1" scenarios="1"/>
  <phoneticPr fontId="0" type="noConversion"/>
  <printOptions horizontalCentered="1" gridLinesSet="0"/>
  <pageMargins left="0.19685039370078741" right="0.19685039370078741" top="1.1417322834645669" bottom="0.51181102362204722" header="0.70866141732283472" footer="0.51181102362204722"/>
  <pageSetup paperSize="9" scale="59" orientation="portrait" horizontalDpi="360" verticalDpi="4294967292" r:id="rId1"/>
  <headerFooter alignWithMargins="0">
    <oddHeader>&amp;L&amp;D  &amp;T&amp;C&amp;"NTTimes/Cyrillic"&amp;14&amp;B&amp;I&amp;F</oddHeader>
  </headerFooter>
  <drawing r:id="rId2"/>
  <legacyDrawing r:id="rId3"/>
  <oleObjects>
    <mc:AlternateContent xmlns:mc="http://schemas.openxmlformats.org/markup-compatibility/2006">
      <mc:Choice Requires="x14">
        <oleObject progId="WordArt" shapeId="5121" r:id="rId4">
          <objectPr defaultSize="0" autoFill="0" autoLine="0" autoPict="0" dde="1" r:id="rId5">
            <anchor moveWithCells="1">
              <from>
                <xdr:col>0</xdr:col>
                <xdr:colOff>104775</xdr:colOff>
                <xdr:row>3</xdr:row>
                <xdr:rowOff>104775</xdr:rowOff>
              </from>
              <to>
                <xdr:col>0</xdr:col>
                <xdr:colOff>581025</xdr:colOff>
                <xdr:row>9</xdr:row>
                <xdr:rowOff>133350</xdr:rowOff>
              </to>
            </anchor>
          </objectPr>
        </oleObject>
      </mc:Choice>
      <mc:Fallback>
        <oleObject progId="WordArt" shapeId="5121" r:id="rId4"/>
      </mc:Fallback>
    </mc:AlternateContent>
    <mc:AlternateContent xmlns:mc="http://schemas.openxmlformats.org/markup-compatibility/2006">
      <mc:Choice Requires="x14">
        <oleObject progId="WordArt" shapeId="5122" r:id="rId6">
          <objectPr defaultSize="0" autoFill="0" autoPict="0" dde="1" r:id="rId7">
            <anchor moveWithCells="1">
              <from>
                <xdr:col>0</xdr:col>
                <xdr:colOff>85725</xdr:colOff>
                <xdr:row>15</xdr:row>
                <xdr:rowOff>180975</xdr:rowOff>
              </from>
              <to>
                <xdr:col>0</xdr:col>
                <xdr:colOff>542925</xdr:colOff>
                <xdr:row>22</xdr:row>
                <xdr:rowOff>28575</xdr:rowOff>
              </to>
            </anchor>
          </objectPr>
        </oleObject>
      </mc:Choice>
      <mc:Fallback>
        <oleObject progId="WordArt" shapeId="5122" r:id="rId6"/>
      </mc:Fallback>
    </mc:AlternateContent>
    <mc:AlternateContent xmlns:mc="http://schemas.openxmlformats.org/markup-compatibility/2006">
      <mc:Choice Requires="x14">
        <oleObject progId="WordArt" shapeId="5123" r:id="rId8">
          <objectPr defaultSize="0" autoPict="0" dde="1" r:id="rId9">
            <anchor moveWithCells="1">
              <from>
                <xdr:col>0</xdr:col>
                <xdr:colOff>114300</xdr:colOff>
                <xdr:row>29</xdr:row>
                <xdr:rowOff>114300</xdr:rowOff>
              </from>
              <to>
                <xdr:col>0</xdr:col>
                <xdr:colOff>552450</xdr:colOff>
                <xdr:row>40</xdr:row>
                <xdr:rowOff>142875</xdr:rowOff>
              </to>
            </anchor>
          </objectPr>
        </oleObject>
      </mc:Choice>
      <mc:Fallback>
        <oleObject progId="WordArt" shapeId="5123" r:id="rId8"/>
      </mc:Fallback>
    </mc:AlternateContent>
    <mc:AlternateContent xmlns:mc="http://schemas.openxmlformats.org/markup-compatibility/2006">
      <mc:Choice Requires="x14">
        <oleObject progId="WordArt" shapeId="5124" r:id="rId10">
          <objectPr defaultSize="0" autoFill="0" autoLine="0" autoPict="0" dde="1" r:id="rId11">
            <anchor moveWithCells="1">
              <from>
                <xdr:col>0</xdr:col>
                <xdr:colOff>104775</xdr:colOff>
                <xdr:row>52</xdr:row>
                <xdr:rowOff>28575</xdr:rowOff>
              </from>
              <to>
                <xdr:col>0</xdr:col>
                <xdr:colOff>533400</xdr:colOff>
                <xdr:row>63</xdr:row>
                <xdr:rowOff>104775</xdr:rowOff>
              </to>
            </anchor>
          </objectPr>
        </oleObject>
      </mc:Choice>
      <mc:Fallback>
        <oleObject progId="WordArt" shapeId="5124" r:id="rId10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1"/>
  <sheetViews>
    <sheetView showGridLines="0" showRowColHeaders="0" workbookViewId="0">
      <selection activeCell="E15" sqref="E15"/>
    </sheetView>
  </sheetViews>
  <sheetFormatPr defaultRowHeight="12.75"/>
  <cols>
    <col min="1" max="1" width="3.85546875" customWidth="1"/>
    <col min="2" max="2" width="70.5703125" customWidth="1"/>
    <col min="3" max="3" width="8.28515625" customWidth="1"/>
    <col min="4" max="4" width="67.85546875" customWidth="1"/>
  </cols>
  <sheetData>
    <row r="1" spans="1:4" ht="17.25" customHeight="1">
      <c r="A1" s="393">
        <v>1</v>
      </c>
      <c r="B1" s="397" t="s">
        <v>719</v>
      </c>
      <c r="C1" s="393">
        <f>1+A35</f>
        <v>36</v>
      </c>
      <c r="D1" s="395" t="s">
        <v>752</v>
      </c>
    </row>
    <row r="2" spans="1:4" ht="17.25" customHeight="1">
      <c r="A2" s="393">
        <f>1+A1</f>
        <v>2</v>
      </c>
      <c r="B2" s="394" t="s">
        <v>718</v>
      </c>
      <c r="C2" s="393">
        <f t="shared" ref="C2:C16" si="0">1+C1</f>
        <v>37</v>
      </c>
      <c r="D2" s="395" t="s">
        <v>753</v>
      </c>
    </row>
    <row r="3" spans="1:4" ht="17.25" customHeight="1">
      <c r="A3" s="393">
        <f t="shared" ref="A3:A35" si="1">1+A2</f>
        <v>3</v>
      </c>
      <c r="B3" s="396" t="s">
        <v>720</v>
      </c>
      <c r="C3" s="393">
        <f t="shared" si="0"/>
        <v>38</v>
      </c>
      <c r="D3" s="395" t="s">
        <v>754</v>
      </c>
    </row>
    <row r="4" spans="1:4" ht="17.25" customHeight="1">
      <c r="A4" s="393">
        <f t="shared" si="1"/>
        <v>4</v>
      </c>
      <c r="B4" s="395" t="s">
        <v>721</v>
      </c>
      <c r="C4" s="393">
        <f t="shared" si="0"/>
        <v>39</v>
      </c>
      <c r="D4" s="395" t="s">
        <v>755</v>
      </c>
    </row>
    <row r="5" spans="1:4" ht="17.25" customHeight="1">
      <c r="A5" s="393">
        <f t="shared" si="1"/>
        <v>5</v>
      </c>
      <c r="B5" s="395" t="s">
        <v>722</v>
      </c>
      <c r="C5" s="393">
        <f t="shared" si="0"/>
        <v>40</v>
      </c>
      <c r="D5" s="395" t="s">
        <v>756</v>
      </c>
    </row>
    <row r="6" spans="1:4" ht="17.25" customHeight="1">
      <c r="A6" s="393">
        <f t="shared" si="1"/>
        <v>6</v>
      </c>
      <c r="B6" s="394" t="s">
        <v>723</v>
      </c>
      <c r="C6" s="393">
        <f t="shared" si="0"/>
        <v>41</v>
      </c>
      <c r="D6" s="394" t="s">
        <v>757</v>
      </c>
    </row>
    <row r="7" spans="1:4" ht="17.25" customHeight="1">
      <c r="A7" s="393">
        <f t="shared" si="1"/>
        <v>7</v>
      </c>
      <c r="B7" s="394" t="s">
        <v>724</v>
      </c>
      <c r="C7" s="393">
        <f t="shared" si="0"/>
        <v>42</v>
      </c>
      <c r="D7" s="394" t="s">
        <v>758</v>
      </c>
    </row>
    <row r="8" spans="1:4" ht="17.25" customHeight="1">
      <c r="A8" s="393">
        <f t="shared" si="1"/>
        <v>8</v>
      </c>
      <c r="B8" s="394" t="s">
        <v>725</v>
      </c>
      <c r="C8" s="393">
        <f t="shared" si="0"/>
        <v>43</v>
      </c>
      <c r="D8" s="395" t="s">
        <v>759</v>
      </c>
    </row>
    <row r="9" spans="1:4" ht="17.25" customHeight="1">
      <c r="A9" s="393">
        <f t="shared" si="1"/>
        <v>9</v>
      </c>
      <c r="B9" s="394" t="s">
        <v>726</v>
      </c>
      <c r="C9" s="393">
        <f t="shared" si="0"/>
        <v>44</v>
      </c>
      <c r="D9" s="395" t="s">
        <v>760</v>
      </c>
    </row>
    <row r="10" spans="1:4" ht="17.25" customHeight="1">
      <c r="A10" s="393">
        <f t="shared" si="1"/>
        <v>10</v>
      </c>
      <c r="B10" s="395" t="s">
        <v>727</v>
      </c>
      <c r="C10" s="393">
        <f t="shared" si="0"/>
        <v>45</v>
      </c>
      <c r="D10" s="394" t="s">
        <v>761</v>
      </c>
    </row>
    <row r="11" spans="1:4" ht="17.25" customHeight="1">
      <c r="A11" s="393">
        <f t="shared" si="1"/>
        <v>11</v>
      </c>
      <c r="B11" s="395" t="s">
        <v>728</v>
      </c>
      <c r="C11" s="393">
        <f t="shared" si="0"/>
        <v>46</v>
      </c>
      <c r="D11" s="394" t="s">
        <v>762</v>
      </c>
    </row>
    <row r="12" spans="1:4" ht="17.25" customHeight="1">
      <c r="A12" s="393">
        <f t="shared" si="1"/>
        <v>12</v>
      </c>
      <c r="B12" s="395" t="s">
        <v>729</v>
      </c>
      <c r="C12" s="393">
        <f t="shared" si="0"/>
        <v>47</v>
      </c>
      <c r="D12" s="399" t="s">
        <v>763</v>
      </c>
    </row>
    <row r="13" spans="1:4" ht="17.25" customHeight="1">
      <c r="A13" s="393">
        <f t="shared" si="1"/>
        <v>13</v>
      </c>
      <c r="B13" s="395" t="s">
        <v>730</v>
      </c>
      <c r="C13" s="393">
        <f t="shared" si="0"/>
        <v>48</v>
      </c>
      <c r="D13" s="395" t="s">
        <v>764</v>
      </c>
    </row>
    <row r="14" spans="1:4" ht="17.25" customHeight="1">
      <c r="A14" s="393">
        <f t="shared" si="1"/>
        <v>14</v>
      </c>
      <c r="B14" s="394" t="s">
        <v>731</v>
      </c>
      <c r="C14" s="393">
        <f t="shared" si="0"/>
        <v>49</v>
      </c>
      <c r="D14" s="395" t="s">
        <v>765</v>
      </c>
    </row>
    <row r="15" spans="1:4" ht="17.25" customHeight="1">
      <c r="A15" s="393">
        <f t="shared" si="1"/>
        <v>15</v>
      </c>
      <c r="B15" s="394" t="s">
        <v>732</v>
      </c>
      <c r="C15" s="393">
        <f t="shared" si="0"/>
        <v>50</v>
      </c>
      <c r="D15" s="394" t="s">
        <v>766</v>
      </c>
    </row>
    <row r="16" spans="1:4" ht="17.25" customHeight="1">
      <c r="A16" s="393">
        <f t="shared" si="1"/>
        <v>16</v>
      </c>
      <c r="B16" s="394" t="s">
        <v>733</v>
      </c>
      <c r="C16" s="393">
        <f t="shared" si="0"/>
        <v>51</v>
      </c>
      <c r="D16" s="394" t="s">
        <v>767</v>
      </c>
    </row>
    <row r="17" spans="1:4" ht="17.25" customHeight="1">
      <c r="A17" s="393">
        <f t="shared" si="1"/>
        <v>17</v>
      </c>
      <c r="B17" s="394" t="s">
        <v>734</v>
      </c>
      <c r="C17" s="393">
        <f t="shared" ref="C17:C35" si="2">1+C16</f>
        <v>52</v>
      </c>
      <c r="D17" s="394" t="s">
        <v>768</v>
      </c>
    </row>
    <row r="18" spans="1:4" ht="17.25" customHeight="1">
      <c r="A18" s="393">
        <f t="shared" si="1"/>
        <v>18</v>
      </c>
      <c r="B18" s="395" t="s">
        <v>735</v>
      </c>
      <c r="C18" s="393">
        <f t="shared" si="2"/>
        <v>53</v>
      </c>
      <c r="D18" s="394" t="s">
        <v>769</v>
      </c>
    </row>
    <row r="19" spans="1:4" ht="17.25" customHeight="1">
      <c r="A19" s="393">
        <f t="shared" si="1"/>
        <v>19</v>
      </c>
      <c r="B19" s="395" t="s">
        <v>745</v>
      </c>
      <c r="C19" s="393">
        <f t="shared" si="2"/>
        <v>54</v>
      </c>
      <c r="D19" s="394" t="s">
        <v>770</v>
      </c>
    </row>
    <row r="20" spans="1:4" ht="17.25" customHeight="1">
      <c r="A20" s="393">
        <f t="shared" si="1"/>
        <v>20</v>
      </c>
      <c r="B20" s="398" t="s">
        <v>736</v>
      </c>
      <c r="C20" s="393">
        <f t="shared" si="2"/>
        <v>55</v>
      </c>
      <c r="D20" s="394" t="s">
        <v>771</v>
      </c>
    </row>
    <row r="21" spans="1:4" ht="17.25" customHeight="1">
      <c r="A21" s="393">
        <f t="shared" si="1"/>
        <v>21</v>
      </c>
      <c r="B21" s="398" t="s">
        <v>737</v>
      </c>
      <c r="C21" s="393">
        <f t="shared" si="2"/>
        <v>56</v>
      </c>
      <c r="D21" s="394" t="s">
        <v>772</v>
      </c>
    </row>
    <row r="22" spans="1:4" ht="17.25" customHeight="1">
      <c r="A22" s="393">
        <f t="shared" si="1"/>
        <v>22</v>
      </c>
      <c r="B22" s="395" t="s">
        <v>738</v>
      </c>
      <c r="C22" s="393">
        <f t="shared" si="2"/>
        <v>57</v>
      </c>
      <c r="D22" s="394" t="s">
        <v>773</v>
      </c>
    </row>
    <row r="23" spans="1:4" ht="17.25" customHeight="1">
      <c r="A23" s="393">
        <f t="shared" si="1"/>
        <v>23</v>
      </c>
      <c r="B23" s="395" t="s">
        <v>739</v>
      </c>
      <c r="C23" s="393">
        <f t="shared" si="2"/>
        <v>58</v>
      </c>
      <c r="D23" s="395" t="s">
        <v>774</v>
      </c>
    </row>
    <row r="24" spans="1:4" ht="17.25" customHeight="1">
      <c r="A24" s="393">
        <f t="shared" si="1"/>
        <v>24</v>
      </c>
      <c r="B24" s="395" t="s">
        <v>740</v>
      </c>
      <c r="C24" s="393">
        <f t="shared" si="2"/>
        <v>59</v>
      </c>
      <c r="D24" s="395" t="s">
        <v>775</v>
      </c>
    </row>
    <row r="25" spans="1:4" ht="17.25" customHeight="1">
      <c r="A25" s="393">
        <f t="shared" si="1"/>
        <v>25</v>
      </c>
      <c r="B25" s="394" t="s">
        <v>741</v>
      </c>
      <c r="C25" s="393">
        <f t="shared" si="2"/>
        <v>60</v>
      </c>
      <c r="D25" s="394" t="s">
        <v>776</v>
      </c>
    </row>
    <row r="26" spans="1:4" ht="17.25" customHeight="1">
      <c r="A26" s="393">
        <f t="shared" si="1"/>
        <v>26</v>
      </c>
      <c r="B26" s="394" t="s">
        <v>742</v>
      </c>
      <c r="C26" s="393">
        <f t="shared" si="2"/>
        <v>61</v>
      </c>
      <c r="D26" s="395" t="s">
        <v>777</v>
      </c>
    </row>
    <row r="27" spans="1:4" ht="17.25" customHeight="1">
      <c r="A27" s="393">
        <f t="shared" si="1"/>
        <v>27</v>
      </c>
      <c r="B27" s="399" t="s">
        <v>793</v>
      </c>
      <c r="C27" s="393">
        <f t="shared" si="2"/>
        <v>62</v>
      </c>
      <c r="D27" s="395" t="s">
        <v>778</v>
      </c>
    </row>
    <row r="28" spans="1:4" ht="17.25" customHeight="1">
      <c r="A28" s="393">
        <f t="shared" si="1"/>
        <v>28</v>
      </c>
      <c r="B28" s="395" t="s">
        <v>743</v>
      </c>
      <c r="C28" s="393">
        <f t="shared" si="2"/>
        <v>63</v>
      </c>
      <c r="D28" s="395" t="s">
        <v>779</v>
      </c>
    </row>
    <row r="29" spans="1:4" ht="17.25" customHeight="1">
      <c r="A29" s="393">
        <f t="shared" si="1"/>
        <v>29</v>
      </c>
      <c r="B29" s="395" t="s">
        <v>744</v>
      </c>
      <c r="C29" s="393">
        <f t="shared" si="2"/>
        <v>64</v>
      </c>
      <c r="D29" s="394" t="s">
        <v>780</v>
      </c>
    </row>
    <row r="30" spans="1:4" ht="17.25" customHeight="1">
      <c r="A30" s="393">
        <f t="shared" si="1"/>
        <v>30</v>
      </c>
      <c r="B30" s="394" t="s">
        <v>746</v>
      </c>
      <c r="C30" s="393">
        <f t="shared" si="2"/>
        <v>65</v>
      </c>
      <c r="D30" s="395" t="s">
        <v>781</v>
      </c>
    </row>
    <row r="31" spans="1:4" ht="17.25" customHeight="1">
      <c r="A31" s="393">
        <f t="shared" si="1"/>
        <v>31</v>
      </c>
      <c r="B31" s="395" t="s">
        <v>747</v>
      </c>
      <c r="C31" s="393">
        <f t="shared" si="2"/>
        <v>66</v>
      </c>
      <c r="D31" s="395" t="s">
        <v>782</v>
      </c>
    </row>
    <row r="32" spans="1:4" ht="17.25" customHeight="1">
      <c r="A32" s="393">
        <f t="shared" si="1"/>
        <v>32</v>
      </c>
      <c r="B32" s="395" t="s">
        <v>748</v>
      </c>
      <c r="C32" s="393">
        <f t="shared" si="2"/>
        <v>67</v>
      </c>
      <c r="D32" s="394" t="s">
        <v>783</v>
      </c>
    </row>
    <row r="33" spans="1:4" ht="17.25" customHeight="1">
      <c r="A33" s="393">
        <f t="shared" si="1"/>
        <v>33</v>
      </c>
      <c r="B33" s="394" t="s">
        <v>749</v>
      </c>
      <c r="C33" s="393">
        <f t="shared" si="2"/>
        <v>68</v>
      </c>
      <c r="D33" s="395" t="s">
        <v>784</v>
      </c>
    </row>
    <row r="34" spans="1:4" ht="17.25" customHeight="1">
      <c r="A34" s="393">
        <f t="shared" si="1"/>
        <v>34</v>
      </c>
      <c r="B34" s="394" t="s">
        <v>750</v>
      </c>
      <c r="C34" s="393">
        <f t="shared" si="2"/>
        <v>69</v>
      </c>
      <c r="D34" s="395" t="s">
        <v>785</v>
      </c>
    </row>
    <row r="35" spans="1:4" ht="17.25" customHeight="1">
      <c r="A35" s="393">
        <f t="shared" si="1"/>
        <v>35</v>
      </c>
      <c r="B35" s="394" t="s">
        <v>751</v>
      </c>
      <c r="C35" s="393">
        <f t="shared" si="2"/>
        <v>70</v>
      </c>
      <c r="D35" s="395" t="s">
        <v>786</v>
      </c>
    </row>
    <row r="36" spans="1:4" ht="17.25" customHeight="1">
      <c r="C36" s="393"/>
    </row>
    <row r="37" spans="1:4" ht="17.25" customHeight="1">
      <c r="C37" s="393"/>
    </row>
    <row r="38" spans="1:4" ht="17.25" customHeight="1">
      <c r="C38" s="393"/>
    </row>
    <row r="39" spans="1:4" ht="17.25" customHeight="1">
      <c r="C39" s="393"/>
    </row>
    <row r="40" spans="1:4" ht="17.25" customHeight="1">
      <c r="C40" s="393"/>
    </row>
    <row r="41" spans="1:4" ht="17.25" customHeight="1">
      <c r="C41" s="393"/>
    </row>
    <row r="42" spans="1:4" ht="17.25" customHeight="1">
      <c r="C42" s="393"/>
    </row>
    <row r="43" spans="1:4" ht="17.25" customHeight="1">
      <c r="C43" s="393"/>
    </row>
    <row r="44" spans="1:4" ht="17.25" customHeight="1">
      <c r="C44" s="393"/>
    </row>
    <row r="45" spans="1:4" ht="17.25" customHeight="1">
      <c r="C45" s="393"/>
    </row>
    <row r="46" spans="1:4" ht="17.25" customHeight="1">
      <c r="C46" s="393"/>
    </row>
    <row r="47" spans="1:4" ht="17.25" customHeight="1">
      <c r="C47" s="393"/>
    </row>
    <row r="48" spans="1:4" ht="17.25" customHeight="1">
      <c r="C48" s="393"/>
    </row>
    <row r="49" spans="1:3" ht="17.25" customHeight="1">
      <c r="C49" s="393"/>
    </row>
    <row r="50" spans="1:3" ht="17.25" customHeight="1">
      <c r="C50" s="393"/>
    </row>
    <row r="51" spans="1:3" ht="17.25" customHeight="1">
      <c r="C51" s="393"/>
    </row>
    <row r="52" spans="1:3" ht="17.25" customHeight="1">
      <c r="A52" s="393"/>
      <c r="C52" s="393"/>
    </row>
    <row r="53" spans="1:3" ht="17.25" customHeight="1">
      <c r="A53" s="393"/>
      <c r="C53" s="393"/>
    </row>
    <row r="54" spans="1:3" ht="17.25" customHeight="1">
      <c r="A54" s="393"/>
      <c r="C54" s="393"/>
    </row>
    <row r="55" spans="1:3" ht="17.25" customHeight="1">
      <c r="A55" s="393"/>
      <c r="C55" s="393"/>
    </row>
    <row r="56" spans="1:3" ht="17.25" customHeight="1">
      <c r="A56" s="393"/>
      <c r="C56" s="393"/>
    </row>
    <row r="57" spans="1:3" ht="17.25" customHeight="1">
      <c r="A57" s="393"/>
      <c r="C57" s="393"/>
    </row>
    <row r="58" spans="1:3" ht="17.25" customHeight="1">
      <c r="A58" s="393"/>
      <c r="C58" s="393"/>
    </row>
    <row r="59" spans="1:3" ht="17.25" customHeight="1">
      <c r="A59" s="393"/>
      <c r="C59" s="393"/>
    </row>
    <row r="60" spans="1:3" ht="17.25" customHeight="1">
      <c r="A60" s="393"/>
      <c r="C60" s="393"/>
    </row>
    <row r="61" spans="1:3" ht="17.25" customHeight="1">
      <c r="A61" s="393"/>
      <c r="C61" s="393"/>
    </row>
    <row r="62" spans="1:3" ht="17.25" customHeight="1">
      <c r="A62" s="393"/>
      <c r="C62" s="393"/>
    </row>
    <row r="63" spans="1:3" ht="17.25" customHeight="1">
      <c r="A63" s="393"/>
    </row>
    <row r="64" spans="1:3" ht="17.25" customHeight="1">
      <c r="A64" s="393"/>
    </row>
    <row r="65" spans="1:1" ht="17.25" customHeight="1">
      <c r="A65" s="393"/>
    </row>
    <row r="66" spans="1:1" ht="17.25" customHeight="1">
      <c r="A66" s="393"/>
    </row>
    <row r="67" spans="1:1" ht="17.25" customHeight="1">
      <c r="A67" s="393"/>
    </row>
    <row r="68" spans="1:1" ht="17.25" customHeight="1">
      <c r="A68" s="393"/>
    </row>
    <row r="69" spans="1:1" ht="17.25" customHeight="1">
      <c r="A69" s="393"/>
    </row>
    <row r="70" spans="1:1" ht="17.25" customHeight="1">
      <c r="A70" s="393"/>
    </row>
    <row r="71" spans="1:1" ht="17.25" customHeight="1"/>
    <row r="72" spans="1:1" ht="17.25" customHeight="1"/>
    <row r="73" spans="1:1" ht="17.25" customHeight="1"/>
    <row r="74" spans="1:1" ht="17.25" customHeight="1"/>
    <row r="75" spans="1:1" ht="17.25" customHeight="1"/>
    <row r="76" spans="1:1" ht="17.25" customHeight="1"/>
    <row r="77" spans="1:1" ht="17.25" customHeight="1"/>
    <row r="78" spans="1:1" ht="17.25" customHeight="1"/>
    <row r="79" spans="1:1" ht="17.25" customHeight="1"/>
    <row r="80" spans="1:1" ht="17.25" customHeight="1"/>
    <row r="81" ht="17.25" customHeight="1"/>
  </sheetData>
  <sheetProtection algorithmName="SHA-512" hashValue="1U+7srb6/9ef4+vLynVOAcGcMu342qKaraFKaAYFFZRKieaj11Y5KvRSYfkiEcXv5Lw4pdgN3LM4JWDxt8xcVw==" saltValue="RxvpX+ARgzT8EwDji4XxRA==" spinCount="100000" sheet="1" objects="1" scenario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1"/>
  <sheetViews>
    <sheetView workbookViewId="0">
      <pane xSplit="2" ySplit="5" topLeftCell="C6" activePane="bottomRight" state="frozen"/>
      <selection pane="topRight" activeCell="C1" sqref="C1"/>
      <selection pane="bottomLeft" activeCell="A5" sqref="A5"/>
      <selection pane="bottomRight" activeCell="N33" sqref="N33"/>
    </sheetView>
  </sheetViews>
  <sheetFormatPr defaultRowHeight="12.75"/>
  <cols>
    <col min="2" max="2" width="12.42578125" bestFit="1" customWidth="1"/>
  </cols>
  <sheetData>
    <row r="1" spans="1:3">
      <c r="A1" s="404" t="s">
        <v>795</v>
      </c>
      <c r="B1" s="405">
        <v>1.22</v>
      </c>
    </row>
    <row r="2" spans="1:3">
      <c r="A2" s="404"/>
      <c r="B2" s="405"/>
    </row>
    <row r="3" spans="1:3">
      <c r="A3" s="408" t="s">
        <v>160</v>
      </c>
      <c r="B3" s="408" t="s">
        <v>187</v>
      </c>
      <c r="C3" s="408" t="s">
        <v>140</v>
      </c>
    </row>
    <row r="4" spans="1:3">
      <c r="A4" s="1" t="s">
        <v>794</v>
      </c>
      <c r="B4" s="1" t="s">
        <v>790</v>
      </c>
      <c r="C4" s="1" t="s">
        <v>796</v>
      </c>
    </row>
    <row r="5" spans="1:3">
      <c r="A5" s="406">
        <v>1</v>
      </c>
      <c r="B5" s="407">
        <f t="shared" ref="B5:B51" si="0">FRACS(Aparticle,Zparticle,Atarget,Ztarget,Afragment,Zfragment,A5)</f>
        <v>6.4179331217170556E-20</v>
      </c>
      <c r="C5" s="406">
        <f t="shared" ref="C5:C51" si="1">RangeInMatter_option(Zparticle,Aparticle,A5,Ztarget,Range_option)</f>
        <v>3.9489999999999998</v>
      </c>
    </row>
    <row r="6" spans="1:3">
      <c r="A6" s="406">
        <f t="shared" ref="A6:A51" si="2">stepE*A5</f>
        <v>1.22</v>
      </c>
      <c r="B6" s="407">
        <f t="shared" si="0"/>
        <v>7.1571604576909446E-17</v>
      </c>
      <c r="C6" s="406">
        <f t="shared" si="1"/>
        <v>4.4340000000000002</v>
      </c>
    </row>
    <row r="7" spans="1:3">
      <c r="A7" s="406">
        <f t="shared" si="2"/>
        <v>1.4883999999999999</v>
      </c>
      <c r="B7" s="407">
        <f t="shared" si="0"/>
        <v>2.1746654046385114E-14</v>
      </c>
      <c r="C7" s="406">
        <f t="shared" si="1"/>
        <v>5.0049999999999999</v>
      </c>
    </row>
    <row r="8" spans="1:3">
      <c r="A8" s="406">
        <f t="shared" si="2"/>
        <v>1.8158479999999999</v>
      </c>
      <c r="B8" s="407">
        <f t="shared" si="0"/>
        <v>2.2764673799858634E-12</v>
      </c>
      <c r="C8" s="406">
        <f t="shared" si="1"/>
        <v>5.6859999999999999</v>
      </c>
    </row>
    <row r="9" spans="1:3">
      <c r="A9" s="406">
        <f t="shared" si="2"/>
        <v>2.2153345599999996</v>
      </c>
      <c r="B9" s="407">
        <f t="shared" si="0"/>
        <v>9.9517323979992985E-11</v>
      </c>
      <c r="C9" s="406">
        <f t="shared" si="1"/>
        <v>6.5019999999999998</v>
      </c>
    </row>
    <row r="10" spans="1:3">
      <c r="A10" s="406">
        <f t="shared" si="2"/>
        <v>2.7027081631999996</v>
      </c>
      <c r="B10" s="407">
        <f t="shared" si="0"/>
        <v>2.1272046924621642E-9</v>
      </c>
      <c r="C10" s="406">
        <f t="shared" si="1"/>
        <v>7.476</v>
      </c>
    </row>
    <row r="11" spans="1:3">
      <c r="A11" s="406">
        <f t="shared" si="2"/>
        <v>3.2973039591039996</v>
      </c>
      <c r="B11" s="407">
        <f t="shared" si="0"/>
        <v>2.530285641944772E-8</v>
      </c>
      <c r="C11" s="406">
        <f t="shared" si="1"/>
        <v>8.6449999999999996</v>
      </c>
    </row>
    <row r="12" spans="1:3">
      <c r="A12" s="406">
        <f t="shared" si="2"/>
        <v>4.0227108301068792</v>
      </c>
      <c r="B12" s="407">
        <f t="shared" si="0"/>
        <v>1.8623226753574922E-7</v>
      </c>
      <c r="C12" s="406">
        <f t="shared" si="1"/>
        <v>10.065</v>
      </c>
    </row>
    <row r="13" spans="1:3">
      <c r="A13" s="406">
        <f t="shared" si="2"/>
        <v>4.9077072127303927</v>
      </c>
      <c r="B13" s="407">
        <f t="shared" si="0"/>
        <v>9.2526612836936249E-7</v>
      </c>
      <c r="C13" s="406">
        <f t="shared" si="1"/>
        <v>11.82</v>
      </c>
    </row>
    <row r="14" spans="1:3">
      <c r="A14" s="406">
        <f t="shared" si="2"/>
        <v>5.987402799531079</v>
      </c>
      <c r="B14" s="407">
        <f t="shared" si="0"/>
        <v>3.3329569758581888E-6</v>
      </c>
      <c r="C14" s="406">
        <f t="shared" si="1"/>
        <v>14.005000000000001</v>
      </c>
    </row>
    <row r="15" spans="1:3">
      <c r="A15" s="406">
        <f t="shared" si="2"/>
        <v>7.3046314154279166</v>
      </c>
      <c r="B15" s="407">
        <f t="shared" si="0"/>
        <v>9.2304112774862764E-6</v>
      </c>
      <c r="C15" s="406">
        <f t="shared" si="1"/>
        <v>16.738</v>
      </c>
    </row>
    <row r="16" spans="1:3">
      <c r="A16" s="406">
        <f t="shared" si="2"/>
        <v>8.9116503268220573</v>
      </c>
      <c r="B16" s="407">
        <f t="shared" si="0"/>
        <v>2.0624189111725304E-5</v>
      </c>
      <c r="C16" s="406">
        <f t="shared" si="1"/>
        <v>20.181000000000001</v>
      </c>
    </row>
    <row r="17" spans="1:3">
      <c r="A17" s="406">
        <f t="shared" si="2"/>
        <v>10.872213398722909</v>
      </c>
      <c r="B17" s="407">
        <f t="shared" si="0"/>
        <v>3.8682823281141082E-5</v>
      </c>
      <c r="C17" s="406">
        <f t="shared" si="1"/>
        <v>24.478999999999999</v>
      </c>
    </row>
    <row r="18" spans="1:3">
      <c r="A18" s="406">
        <f t="shared" si="2"/>
        <v>13.26410034644195</v>
      </c>
      <c r="B18" s="407">
        <f t="shared" si="0"/>
        <v>6.2925540603939596E-5</v>
      </c>
      <c r="C18" s="406">
        <f t="shared" si="1"/>
        <v>29.805</v>
      </c>
    </row>
    <row r="19" spans="1:3">
      <c r="A19" s="406">
        <f t="shared" si="2"/>
        <v>16.182202422659177</v>
      </c>
      <c r="B19" s="407">
        <f t="shared" si="0"/>
        <v>9.1201029155833546E-5</v>
      </c>
      <c r="C19" s="406">
        <f t="shared" si="1"/>
        <v>36.601999999999997</v>
      </c>
    </row>
    <row r="20" spans="1:3">
      <c r="A20" s="406">
        <f t="shared" si="2"/>
        <v>19.742286955644197</v>
      </c>
      <c r="B20" s="407">
        <f t="shared" si="0"/>
        <v>1.2042014734807648E-4</v>
      </c>
      <c r="C20" s="406">
        <f t="shared" si="1"/>
        <v>45.354999999999997</v>
      </c>
    </row>
    <row r="21" spans="1:3">
      <c r="A21" s="406">
        <f t="shared" si="2"/>
        <v>24.085590085885919</v>
      </c>
      <c r="B21" s="407">
        <f t="shared" si="0"/>
        <v>1.4754399009445492E-4</v>
      </c>
      <c r="C21" s="406">
        <f t="shared" si="1"/>
        <v>56.737000000000002</v>
      </c>
    </row>
    <row r="22" spans="1:3">
      <c r="A22" s="406">
        <f t="shared" si="2"/>
        <v>29.38441990478082</v>
      </c>
      <c r="B22" s="407">
        <f t="shared" si="0"/>
        <v>1.7033127035451486E-4</v>
      </c>
      <c r="C22" s="406">
        <f t="shared" si="1"/>
        <v>71.668000000000006</v>
      </c>
    </row>
    <row r="23" spans="1:3">
      <c r="A23" s="406">
        <f t="shared" si="2"/>
        <v>35.848992283832601</v>
      </c>
      <c r="B23" s="407">
        <f t="shared" si="0"/>
        <v>1.8763583178508966E-4</v>
      </c>
      <c r="C23" s="406">
        <f t="shared" si="1"/>
        <v>91.412999999999997</v>
      </c>
    </row>
    <row r="24" spans="1:3">
      <c r="A24" s="406">
        <f t="shared" si="2"/>
        <v>43.73577058627577</v>
      </c>
      <c r="B24" s="407">
        <f t="shared" si="0"/>
        <v>1.993174141160763E-4</v>
      </c>
      <c r="C24" s="406">
        <f t="shared" si="1"/>
        <v>117.71899999999999</v>
      </c>
    </row>
    <row r="25" spans="1:3">
      <c r="A25" s="406">
        <f t="shared" si="2"/>
        <v>53.357640115256437</v>
      </c>
      <c r="B25" s="407">
        <f t="shared" si="0"/>
        <v>2.0594691398910915E-4</v>
      </c>
      <c r="C25" s="406">
        <f t="shared" si="1"/>
        <v>153.00200000000001</v>
      </c>
    </row>
    <row r="26" spans="1:3">
      <c r="A26" s="406">
        <f t="shared" si="2"/>
        <v>65.096320940612856</v>
      </c>
      <c r="B26" s="407">
        <f t="shared" si="0"/>
        <v>2.0847364467511465E-4</v>
      </c>
      <c r="C26" s="406">
        <f t="shared" si="1"/>
        <v>200.60300000000001</v>
      </c>
    </row>
    <row r="27" spans="1:3">
      <c r="A27" s="406">
        <f t="shared" si="2"/>
        <v>79.417511547547676</v>
      </c>
      <c r="B27" s="407">
        <f t="shared" si="0"/>
        <v>2.0795352388371284E-4</v>
      </c>
      <c r="C27" s="406">
        <f t="shared" si="1"/>
        <v>265.13799999999998</v>
      </c>
    </row>
    <row r="28" spans="1:3">
      <c r="A28" s="406">
        <f t="shared" si="2"/>
        <v>96.889364088008165</v>
      </c>
      <c r="B28" s="407">
        <f t="shared" si="0"/>
        <v>2.0537141891943157E-4</v>
      </c>
      <c r="C28" s="406">
        <f t="shared" si="1"/>
        <v>352.976</v>
      </c>
    </row>
    <row r="29" spans="1:3">
      <c r="A29" s="406">
        <f t="shared" si="2"/>
        <v>118.20502418736996</v>
      </c>
      <c r="B29" s="407">
        <f t="shared" si="0"/>
        <v>2.0155026793125235E-4</v>
      </c>
      <c r="C29" s="406">
        <f t="shared" si="1"/>
        <v>472.86700000000002</v>
      </c>
    </row>
    <row r="30" spans="1:3">
      <c r="A30" s="406">
        <f t="shared" si="2"/>
        <v>144.21012950859134</v>
      </c>
      <c r="B30" s="407">
        <f t="shared" si="0"/>
        <v>1.9712315667046409E-4</v>
      </c>
      <c r="C30" s="406">
        <f t="shared" si="1"/>
        <v>636.75699999999995</v>
      </c>
    </row>
    <row r="31" spans="1:3">
      <c r="A31" s="406">
        <f t="shared" si="2"/>
        <v>175.93635800048142</v>
      </c>
      <c r="B31" s="407">
        <f t="shared" si="0"/>
        <v>1.9254327019831198E-4</v>
      </c>
      <c r="C31" s="406">
        <f t="shared" si="1"/>
        <v>860.83500000000004</v>
      </c>
    </row>
    <row r="32" spans="1:3">
      <c r="A32" s="406">
        <f t="shared" si="2"/>
        <v>214.64235676058732</v>
      </c>
      <c r="B32" s="407">
        <f t="shared" si="0"/>
        <v>1.8811206528088328E-4</v>
      </c>
      <c r="C32" s="406">
        <f t="shared" si="1"/>
        <v>1166.8130000000001</v>
      </c>
    </row>
    <row r="33" spans="1:3">
      <c r="A33" s="406">
        <f t="shared" si="2"/>
        <v>261.86367524791655</v>
      </c>
      <c r="B33" s="407">
        <f t="shared" si="0"/>
        <v>1.8401279642200896E-4</v>
      </c>
      <c r="C33" s="406">
        <f t="shared" si="1"/>
        <v>1583.472</v>
      </c>
    </row>
    <row r="34" spans="1:3">
      <c r="A34" s="406">
        <f t="shared" si="2"/>
        <v>319.4736838024582</v>
      </c>
      <c r="B34" s="407">
        <f t="shared" si="0"/>
        <v>1.8034223021432384E-4</v>
      </c>
      <c r="C34" s="406">
        <f t="shared" si="1"/>
        <v>2148.3780000000002</v>
      </c>
    </row>
    <row r="35" spans="1:3">
      <c r="A35" s="406">
        <f t="shared" si="2"/>
        <v>389.75789423899897</v>
      </c>
      <c r="B35" s="407">
        <f t="shared" si="0"/>
        <v>1.7713733556638266E-4</v>
      </c>
      <c r="C35" s="406">
        <f t="shared" si="1"/>
        <v>2909.7919999999999</v>
      </c>
    </row>
    <row r="36" spans="1:3">
      <c r="A36" s="406">
        <f t="shared" si="2"/>
        <v>475.50463097157876</v>
      </c>
      <c r="B36" s="409">
        <f t="shared" si="0"/>
        <v>1.7439611393210293E-4</v>
      </c>
      <c r="C36" s="406">
        <f t="shared" si="1"/>
        <v>3928.5459999999998</v>
      </c>
    </row>
    <row r="37" spans="1:3">
      <c r="A37" s="406">
        <f t="shared" si="2"/>
        <v>580.11564978532613</v>
      </c>
      <c r="B37" s="409">
        <f t="shared" si="0"/>
        <v>1.7209296678805883E-4</v>
      </c>
      <c r="C37" s="406">
        <f t="shared" si="1"/>
        <v>5279.7839999999997</v>
      </c>
    </row>
    <row r="38" spans="1:3">
      <c r="A38" s="406">
        <f t="shared" si="2"/>
        <v>707.7410927380979</v>
      </c>
      <c r="B38" s="407">
        <f t="shared" si="0"/>
        <v>1.7018950844185671E-4</v>
      </c>
      <c r="C38" s="406">
        <f t="shared" si="1"/>
        <v>7054.2780000000002</v>
      </c>
    </row>
    <row r="39" spans="1:3">
      <c r="A39" s="406">
        <f t="shared" si="2"/>
        <v>863.44413314047938</v>
      </c>
      <c r="B39" s="407">
        <f t="shared" si="0"/>
        <v>1.6864183863918951E-4</v>
      </c>
      <c r="C39" s="406">
        <f t="shared" si="1"/>
        <v>9359.1849999999995</v>
      </c>
    </row>
    <row r="40" spans="1:3">
      <c r="A40" s="406">
        <f t="shared" si="2"/>
        <v>1053.4018424313849</v>
      </c>
      <c r="B40" s="407">
        <f t="shared" si="0"/>
        <v>1.6770114470781764E-4</v>
      </c>
      <c r="C40" s="406">
        <f t="shared" si="1"/>
        <v>12317.832</v>
      </c>
    </row>
    <row r="41" spans="1:3">
      <c r="A41" s="406">
        <f t="shared" si="2"/>
        <v>1285.1502477662896</v>
      </c>
      <c r="B41" s="407">
        <f t="shared" si="0"/>
        <v>1.6770114470781764E-4</v>
      </c>
      <c r="C41" s="406">
        <f t="shared" si="1"/>
        <v>16068.548000000001</v>
      </c>
    </row>
    <row r="42" spans="1:3">
      <c r="A42" s="406">
        <f t="shared" si="2"/>
        <v>1567.8833022748731</v>
      </c>
      <c r="B42" s="407">
        <f t="shared" si="0"/>
        <v>1.6770114470781764E-4</v>
      </c>
      <c r="C42" s="406">
        <f t="shared" si="1"/>
        <v>20762.159</v>
      </c>
    </row>
    <row r="43" spans="1:3">
      <c r="A43" s="406">
        <f t="shared" si="2"/>
        <v>1912.8176287753452</v>
      </c>
      <c r="B43" s="407">
        <f t="shared" si="0"/>
        <v>1.6770114470781764E-4</v>
      </c>
      <c r="C43" s="406">
        <f t="shared" si="1"/>
        <v>26558.234</v>
      </c>
    </row>
    <row r="44" spans="1:3">
      <c r="A44" s="406">
        <f t="shared" si="2"/>
        <v>2333.637507105921</v>
      </c>
      <c r="B44" s="407">
        <f t="shared" si="0"/>
        <v>1.6770114470781764E-4</v>
      </c>
      <c r="C44" s="406">
        <f t="shared" si="1"/>
        <v>33620.017</v>
      </c>
    </row>
    <row r="45" spans="1:3">
      <c r="A45" s="406">
        <f t="shared" si="2"/>
        <v>2847.0377586692234</v>
      </c>
      <c r="B45" s="407">
        <f t="shared" si="0"/>
        <v>1.6770114470781764E-4</v>
      </c>
      <c r="C45" s="406">
        <f t="shared" si="1"/>
        <v>42108.413</v>
      </c>
    </row>
    <row r="46" spans="1:3">
      <c r="A46" s="406">
        <f t="shared" si="2"/>
        <v>3473.3860655764524</v>
      </c>
      <c r="B46" s="407">
        <f t="shared" si="0"/>
        <v>1.6770114470781764E-4</v>
      </c>
      <c r="C46" s="406">
        <f t="shared" si="1"/>
        <v>52363.504000000001</v>
      </c>
    </row>
    <row r="47" spans="1:3">
      <c r="A47" s="406">
        <f t="shared" si="2"/>
        <v>4237.5310000032723</v>
      </c>
      <c r="B47" s="407">
        <f t="shared" si="0"/>
        <v>1.6770114470781764E-4</v>
      </c>
      <c r="C47" s="406">
        <f t="shared" si="1"/>
        <v>65107.521000000001</v>
      </c>
    </row>
    <row r="48" spans="1:3">
      <c r="A48" s="406">
        <f t="shared" si="2"/>
        <v>5169.7878200039922</v>
      </c>
      <c r="B48" s="407">
        <f t="shared" si="0"/>
        <v>1.6770114470781764E-4</v>
      </c>
      <c r="C48" s="406">
        <f t="shared" si="1"/>
        <v>80953.123999999996</v>
      </c>
    </row>
    <row r="49" spans="1:3">
      <c r="A49" s="406">
        <f t="shared" si="2"/>
        <v>6307.1411404048704</v>
      </c>
      <c r="B49" s="407">
        <f t="shared" si="0"/>
        <v>1.6770114470781764E-4</v>
      </c>
      <c r="C49" s="406">
        <f t="shared" si="1"/>
        <v>100655.166</v>
      </c>
    </row>
    <row r="50" spans="1:3">
      <c r="A50" s="406">
        <f t="shared" si="2"/>
        <v>7694.7121912939419</v>
      </c>
      <c r="B50" s="407">
        <f t="shared" si="0"/>
        <v>1.6770114470781764E-4</v>
      </c>
      <c r="C50" s="406">
        <f t="shared" si="1"/>
        <v>125152.211</v>
      </c>
    </row>
    <row r="51" spans="1:3">
      <c r="A51" s="406">
        <f t="shared" si="2"/>
        <v>9387.5488733786096</v>
      </c>
      <c r="B51" s="407">
        <f t="shared" si="0"/>
        <v>1.6770114470781764E-4</v>
      </c>
      <c r="C51" s="406">
        <f t="shared" si="1"/>
        <v>155611.24600000001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9"/>
  <sheetViews>
    <sheetView showGridLines="0" showRowColHeaders="0" workbookViewId="0">
      <selection activeCell="F23" sqref="F23"/>
    </sheetView>
  </sheetViews>
  <sheetFormatPr defaultRowHeight="12.75"/>
  <cols>
    <col min="1" max="1" width="17.7109375" style="99" customWidth="1"/>
    <col min="2" max="2" width="10.5703125" style="63" customWidth="1"/>
    <col min="3" max="3" width="9.140625" style="63"/>
    <col min="4" max="4" width="9.5703125" style="63" bestFit="1" customWidth="1"/>
    <col min="5" max="5" width="14.7109375" style="63" customWidth="1"/>
    <col min="6" max="6" width="12.42578125" style="63" customWidth="1"/>
    <col min="7" max="7" width="12.42578125" style="63" bestFit="1" customWidth="1"/>
    <col min="8" max="16384" width="9.140625" style="63"/>
  </cols>
  <sheetData>
    <row r="1" spans="1:7" s="83" customFormat="1" ht="13.5" thickBot="1">
      <c r="A1" s="461" t="s">
        <v>205</v>
      </c>
      <c r="B1" s="462"/>
      <c r="C1" s="463"/>
      <c r="E1" s="461" t="s">
        <v>206</v>
      </c>
      <c r="F1" s="462"/>
      <c r="G1" s="463"/>
    </row>
    <row r="2" spans="1:7" ht="13.5" thickTop="1">
      <c r="A2" s="88" t="s">
        <v>207</v>
      </c>
      <c r="B2" s="89">
        <v>-2.4668936382354401E-2</v>
      </c>
      <c r="C2" s="90" t="s">
        <v>208</v>
      </c>
      <c r="E2" s="88" t="s">
        <v>209</v>
      </c>
      <c r="F2" s="89">
        <v>-2.5127413902424688E-2</v>
      </c>
      <c r="G2" s="90" t="s">
        <v>208</v>
      </c>
    </row>
    <row r="3" spans="1:7">
      <c r="A3" s="88" t="s">
        <v>210</v>
      </c>
      <c r="B3" s="91">
        <v>267.36772098575256</v>
      </c>
      <c r="C3" s="90" t="s">
        <v>200</v>
      </c>
      <c r="E3" s="88" t="s">
        <v>211</v>
      </c>
      <c r="F3" s="91">
        <v>263.98194257910001</v>
      </c>
      <c r="G3" s="90" t="s">
        <v>200</v>
      </c>
    </row>
    <row r="4" spans="1:7">
      <c r="A4" s="92" t="s">
        <v>212</v>
      </c>
      <c r="B4" s="93">
        <f>+shift_calc</f>
        <v>43.113576249593116</v>
      </c>
      <c r="C4" s="94" t="s">
        <v>200</v>
      </c>
      <c r="E4" s="92" t="s">
        <v>213</v>
      </c>
      <c r="F4" s="93">
        <f>+shift_calc</f>
        <v>43.113576249593116</v>
      </c>
      <c r="G4" s="94" t="s">
        <v>200</v>
      </c>
    </row>
    <row r="7" spans="1:7" s="83" customFormat="1" ht="13.5" thickBot="1">
      <c r="A7" s="461" t="s">
        <v>214</v>
      </c>
      <c r="B7" s="462"/>
      <c r="C7" s="463"/>
      <c r="E7" s="461" t="s">
        <v>215</v>
      </c>
      <c r="F7" s="462"/>
      <c r="G7" s="463"/>
    </row>
    <row r="8" spans="1:7" ht="13.5" thickTop="1">
      <c r="A8" s="88" t="s">
        <v>216</v>
      </c>
      <c r="B8" s="95">
        <v>0.17942366078289382</v>
      </c>
      <c r="C8" s="90" t="s">
        <v>217</v>
      </c>
      <c r="E8" s="88" t="s">
        <v>218</v>
      </c>
      <c r="F8" s="89">
        <v>3.9379254274562006</v>
      </c>
      <c r="G8" s="90" t="s">
        <v>217</v>
      </c>
    </row>
    <row r="9" spans="1:7">
      <c r="A9" s="92" t="s">
        <v>219</v>
      </c>
      <c r="B9" s="96">
        <v>2.396983068422482</v>
      </c>
      <c r="C9" s="94" t="s">
        <v>201</v>
      </c>
      <c r="E9" s="92" t="s">
        <v>220</v>
      </c>
      <c r="F9" s="97">
        <v>-1016.5823482188802</v>
      </c>
      <c r="G9" s="94" t="s">
        <v>201</v>
      </c>
    </row>
    <row r="10" spans="1:7">
      <c r="A10" s="88" t="s">
        <v>221</v>
      </c>
      <c r="B10" s="95" t="s">
        <v>48</v>
      </c>
      <c r="C10" s="90"/>
    </row>
    <row r="11" spans="1:7">
      <c r="A11" s="92" t="s">
        <v>222</v>
      </c>
      <c r="B11" s="98">
        <v>109.96</v>
      </c>
      <c r="C11" s="94" t="s">
        <v>140</v>
      </c>
    </row>
    <row r="12" spans="1:7" ht="17.25" customHeight="1" thickBot="1">
      <c r="E12" s="461" t="s">
        <v>223</v>
      </c>
      <c r="F12" s="462"/>
      <c r="G12" s="463"/>
    </row>
    <row r="13" spans="1:7" ht="13.5" thickTop="1">
      <c r="E13" s="88" t="s">
        <v>224</v>
      </c>
      <c r="F13" s="100">
        <v>23.19455</v>
      </c>
      <c r="G13" s="90" t="s">
        <v>9</v>
      </c>
    </row>
    <row r="14" spans="1:7" ht="13.5" thickBot="1">
      <c r="A14" s="461" t="s">
        <v>225</v>
      </c>
      <c r="B14" s="462"/>
      <c r="C14" s="463"/>
      <c r="E14" s="88" t="s">
        <v>226</v>
      </c>
      <c r="F14" s="101">
        <f>1/HF/1000000/0.000000001</f>
        <v>43.113576249593116</v>
      </c>
      <c r="G14" s="90" t="s">
        <v>200</v>
      </c>
    </row>
    <row r="15" spans="1:7" ht="13.5" thickTop="1">
      <c r="A15" s="88" t="s">
        <v>227</v>
      </c>
      <c r="B15" s="89">
        <v>7.64</v>
      </c>
      <c r="C15" s="90"/>
      <c r="E15" s="88"/>
      <c r="F15" s="101"/>
      <c r="G15" s="90"/>
    </row>
    <row r="16" spans="1:7">
      <c r="A16" s="92" t="s">
        <v>228</v>
      </c>
      <c r="B16" s="102">
        <v>0.02</v>
      </c>
      <c r="C16" s="94"/>
      <c r="E16" s="88" t="s">
        <v>229</v>
      </c>
      <c r="F16" s="100">
        <v>17.486000000000001</v>
      </c>
      <c r="G16" s="90" t="s">
        <v>230</v>
      </c>
    </row>
    <row r="17" spans="1:7">
      <c r="E17" s="88" t="s">
        <v>231</v>
      </c>
      <c r="F17" s="100">
        <f>35.48-F16</f>
        <v>17.993999999999996</v>
      </c>
      <c r="G17" s="90" t="s">
        <v>230</v>
      </c>
    </row>
    <row r="18" spans="1:7">
      <c r="E18" s="88"/>
      <c r="F18" s="103"/>
      <c r="G18" s="90"/>
    </row>
    <row r="19" spans="1:7">
      <c r="A19" s="63"/>
      <c r="E19" s="88" t="s">
        <v>232</v>
      </c>
      <c r="F19" s="101">
        <v>3.1</v>
      </c>
      <c r="G19" s="90" t="s">
        <v>230</v>
      </c>
    </row>
    <row r="20" spans="1:7">
      <c r="A20" s="63"/>
      <c r="E20" s="88" t="s">
        <v>233</v>
      </c>
      <c r="F20" s="104">
        <v>57.935299999999998</v>
      </c>
      <c r="G20" s="90" t="s">
        <v>234</v>
      </c>
    </row>
    <row r="21" spans="1:7">
      <c r="E21" s="88" t="s">
        <v>235</v>
      </c>
      <c r="F21" s="100">
        <v>1</v>
      </c>
      <c r="G21" s="90"/>
    </row>
    <row r="22" spans="1:7">
      <c r="E22" s="88" t="s">
        <v>236</v>
      </c>
      <c r="F22" s="101">
        <v>0.29977900000000002</v>
      </c>
      <c r="G22" s="90" t="s">
        <v>237</v>
      </c>
    </row>
    <row r="23" spans="1:7">
      <c r="E23" s="88" t="s">
        <v>238</v>
      </c>
      <c r="F23" s="101">
        <v>931.49432000000002</v>
      </c>
      <c r="G23" s="90"/>
    </row>
    <row r="24" spans="1:7">
      <c r="E24" s="88"/>
      <c r="F24" s="103"/>
      <c r="G24" s="90"/>
    </row>
    <row r="25" spans="1:7">
      <c r="A25" s="62" t="s">
        <v>239</v>
      </c>
      <c r="E25" s="88" t="s">
        <v>240</v>
      </c>
      <c r="F25" s="100">
        <v>1</v>
      </c>
      <c r="G25" s="90"/>
    </row>
    <row r="26" spans="1:7">
      <c r="A26" s="105" t="s">
        <v>241</v>
      </c>
      <c r="E26" s="88" t="s">
        <v>242</v>
      </c>
      <c r="F26" s="100">
        <v>0</v>
      </c>
      <c r="G26" s="90"/>
    </row>
    <row r="27" spans="1:7">
      <c r="A27" s="106" t="s">
        <v>243</v>
      </c>
      <c r="E27" s="88"/>
      <c r="F27" s="103"/>
      <c r="G27" s="90"/>
    </row>
    <row r="28" spans="1:7">
      <c r="E28" s="88" t="s">
        <v>244</v>
      </c>
      <c r="F28" s="107">
        <f>1/dispersion/100</f>
        <v>1.6913090393702921E-4</v>
      </c>
      <c r="G28" s="90"/>
    </row>
    <row r="29" spans="1:7">
      <c r="E29" s="92" t="s">
        <v>245</v>
      </c>
      <c r="F29" s="102">
        <v>59.125799999999998</v>
      </c>
      <c r="G29" s="94" t="s">
        <v>246</v>
      </c>
    </row>
  </sheetData>
  <sheetProtection password="CA15" sheet="1" objects="1" scenarios="1"/>
  <mergeCells count="6">
    <mergeCell ref="A14:C14"/>
    <mergeCell ref="E12:G12"/>
    <mergeCell ref="A1:C1"/>
    <mergeCell ref="E1:G1"/>
    <mergeCell ref="A7:C7"/>
    <mergeCell ref="E7:G7"/>
  </mergeCells>
  <phoneticPr fontId="0" type="noConversion"/>
  <printOptions horizontalCentered="1"/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&amp;L&amp;D &amp;T&amp;C&amp;F&amp;R&amp;A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:O201"/>
  <sheetViews>
    <sheetView topLeftCell="A106" zoomScale="75" workbookViewId="0">
      <selection activeCell="M123" sqref="M123"/>
    </sheetView>
  </sheetViews>
  <sheetFormatPr defaultRowHeight="12.75"/>
  <cols>
    <col min="1" max="1" width="5.28515625" style="3" customWidth="1"/>
    <col min="2" max="2" width="8.140625" style="3" customWidth="1"/>
    <col min="3" max="3" width="12.42578125" style="4" customWidth="1"/>
    <col min="4" max="4" width="10.5703125" style="4" customWidth="1"/>
    <col min="5" max="5" width="3.5703125" customWidth="1"/>
    <col min="6" max="6" width="4.7109375" style="11" customWidth="1"/>
    <col min="7" max="7" width="7.28515625" style="15" customWidth="1"/>
    <col min="8" max="9" width="8.85546875" style="14" customWidth="1"/>
    <col min="10" max="10" width="5" style="14" customWidth="1"/>
    <col min="11" max="11" width="6.140625" style="14" customWidth="1"/>
    <col min="12" max="12" width="8.85546875" style="14" customWidth="1"/>
    <col min="13" max="13" width="24.7109375" style="14" customWidth="1"/>
    <col min="14" max="14" width="8.85546875" style="14" customWidth="1"/>
  </cols>
  <sheetData>
    <row r="1" spans="1:14" s="1" customFormat="1">
      <c r="A1" s="1" t="s">
        <v>33</v>
      </c>
      <c r="B1" s="2" t="s">
        <v>6</v>
      </c>
      <c r="C1" s="2" t="s">
        <v>34</v>
      </c>
      <c r="D1" s="2" t="s">
        <v>35</v>
      </c>
      <c r="F1" s="7" t="s">
        <v>1</v>
      </c>
      <c r="G1" s="8" t="s">
        <v>2</v>
      </c>
      <c r="H1" s="7" t="s">
        <v>3</v>
      </c>
      <c r="I1" s="7" t="s">
        <v>4</v>
      </c>
      <c r="J1" s="7"/>
      <c r="K1" s="16" t="s">
        <v>5</v>
      </c>
      <c r="L1" s="16" t="s">
        <v>6</v>
      </c>
      <c r="M1" s="16" t="s">
        <v>7</v>
      </c>
      <c r="N1" s="16" t="s">
        <v>8</v>
      </c>
    </row>
    <row r="2" spans="1:14">
      <c r="A2" s="3">
        <v>1</v>
      </c>
      <c r="B2" s="3" t="s">
        <v>36</v>
      </c>
      <c r="C2">
        <v>1.008</v>
      </c>
      <c r="D2">
        <v>7.1499999999999994E-2</v>
      </c>
      <c r="F2" s="9"/>
      <c r="G2" s="10"/>
      <c r="H2" s="9" t="s">
        <v>9</v>
      </c>
      <c r="I2" s="9" t="s">
        <v>10</v>
      </c>
      <c r="J2" s="9"/>
      <c r="K2" s="3">
        <v>1</v>
      </c>
      <c r="L2" s="3" t="s">
        <v>11</v>
      </c>
      <c r="M2">
        <v>-2.5840000000000001</v>
      </c>
      <c r="N2" s="17">
        <v>-2.5840000000000001</v>
      </c>
    </row>
    <row r="3" spans="1:14">
      <c r="A3" s="3">
        <f t="shared" ref="A3:A34" si="0">1+A2</f>
        <v>2</v>
      </c>
      <c r="B3" s="3" t="s">
        <v>37</v>
      </c>
      <c r="C3">
        <v>4.0030000000000001</v>
      </c>
      <c r="D3">
        <v>0.12590000000000001</v>
      </c>
      <c r="F3" s="11">
        <v>1</v>
      </c>
      <c r="G3" s="12">
        <v>2</v>
      </c>
      <c r="H3" s="13">
        <v>22.081</v>
      </c>
      <c r="I3" s="13">
        <v>1.448</v>
      </c>
      <c r="K3" s="3">
        <v>2</v>
      </c>
      <c r="L3" s="3" t="s">
        <v>12</v>
      </c>
      <c r="M3">
        <v>-7.5700000000000003E-3</v>
      </c>
      <c r="N3" s="17">
        <v>-7.5700000000000003E-3</v>
      </c>
    </row>
    <row r="4" spans="1:14">
      <c r="A4" s="3">
        <f t="shared" si="0"/>
        <v>3</v>
      </c>
      <c r="B4" s="3" t="s">
        <v>38</v>
      </c>
      <c r="C4">
        <v>6.9409999999999998</v>
      </c>
      <c r="D4">
        <v>0.53400000000000003</v>
      </c>
      <c r="F4" s="11">
        <v>2</v>
      </c>
      <c r="G4" s="12">
        <v>2.02</v>
      </c>
      <c r="H4" s="13">
        <v>21.962</v>
      </c>
      <c r="I4" s="13">
        <v>1.4550000000000001</v>
      </c>
      <c r="K4" s="3">
        <v>3</v>
      </c>
      <c r="L4" s="3" t="s">
        <v>13</v>
      </c>
      <c r="M4">
        <v>1.2513688557067252E-2</v>
      </c>
      <c r="N4" s="17">
        <v>0</v>
      </c>
    </row>
    <row r="5" spans="1:14">
      <c r="A5" s="3">
        <f t="shared" si="0"/>
        <v>4</v>
      </c>
      <c r="B5" s="3" t="s">
        <v>39</v>
      </c>
      <c r="C5">
        <v>9.0120000000000005</v>
      </c>
      <c r="D5">
        <v>1.8480000000000001</v>
      </c>
      <c r="F5" s="11">
        <v>3</v>
      </c>
      <c r="G5" s="12">
        <v>2.04</v>
      </c>
      <c r="H5" s="13">
        <v>21.844999999999999</v>
      </c>
      <c r="I5" s="13">
        <v>1.4610000000000001</v>
      </c>
      <c r="K5" s="3">
        <v>4</v>
      </c>
      <c r="L5" s="3" t="s">
        <v>14</v>
      </c>
      <c r="M5">
        <v>3.5678864939365604E-2</v>
      </c>
      <c r="N5" s="17">
        <v>1</v>
      </c>
    </row>
    <row r="6" spans="1:14">
      <c r="A6" s="3">
        <f t="shared" si="0"/>
        <v>5</v>
      </c>
      <c r="B6" s="3" t="s">
        <v>40</v>
      </c>
      <c r="C6">
        <v>10.811</v>
      </c>
      <c r="D6">
        <v>2.3502000000000001</v>
      </c>
      <c r="F6" s="11">
        <v>4</v>
      </c>
      <c r="G6" s="12">
        <v>2.06</v>
      </c>
      <c r="H6" s="13">
        <v>21.728000000000002</v>
      </c>
      <c r="I6" s="13">
        <v>1.468</v>
      </c>
      <c r="K6" s="3">
        <v>5</v>
      </c>
      <c r="L6" s="3" t="s">
        <v>15</v>
      </c>
      <c r="M6">
        <v>-0.89500000000000002</v>
      </c>
      <c r="N6" s="17">
        <v>-0.89500000000000002</v>
      </c>
    </row>
    <row r="7" spans="1:14">
      <c r="A7" s="3">
        <f t="shared" si="0"/>
        <v>6</v>
      </c>
      <c r="B7" s="3" t="s">
        <v>41</v>
      </c>
      <c r="C7">
        <v>12.010999999999999</v>
      </c>
      <c r="D7">
        <v>2.2530000000000001</v>
      </c>
      <c r="E7" s="5"/>
      <c r="F7" s="11">
        <v>5</v>
      </c>
      <c r="G7" s="12">
        <v>2.08</v>
      </c>
      <c r="H7" s="13">
        <v>21.613</v>
      </c>
      <c r="I7" s="13">
        <v>1.474</v>
      </c>
      <c r="K7" s="3">
        <v>6</v>
      </c>
      <c r="L7" s="3" t="s">
        <v>16</v>
      </c>
      <c r="M7">
        <v>2.7029999999999998E-2</v>
      </c>
      <c r="N7" s="17">
        <v>2.7029999999999998E-2</v>
      </c>
    </row>
    <row r="8" spans="1:14">
      <c r="A8" s="3">
        <f t="shared" si="0"/>
        <v>7</v>
      </c>
      <c r="B8" s="3" t="s">
        <v>1</v>
      </c>
      <c r="C8">
        <v>14.007</v>
      </c>
      <c r="D8">
        <v>1.026</v>
      </c>
      <c r="F8" s="11">
        <v>6</v>
      </c>
      <c r="G8" s="12">
        <v>2.1</v>
      </c>
      <c r="H8" s="13">
        <v>21.498000000000001</v>
      </c>
      <c r="I8" s="13">
        <v>1.48</v>
      </c>
      <c r="K8" s="3">
        <v>7</v>
      </c>
      <c r="L8" s="3" t="s">
        <v>17</v>
      </c>
      <c r="M8">
        <v>2.041E-4</v>
      </c>
      <c r="N8" s="17">
        <v>2.041E-4</v>
      </c>
    </row>
    <row r="9" spans="1:14">
      <c r="A9" s="3">
        <f t="shared" si="0"/>
        <v>8</v>
      </c>
      <c r="B9" s="3" t="s">
        <v>42</v>
      </c>
      <c r="C9">
        <v>15.999000000000001</v>
      </c>
      <c r="D9">
        <v>1.4259999999999999</v>
      </c>
      <c r="E9" s="6"/>
      <c r="F9" s="11">
        <v>7</v>
      </c>
      <c r="G9" s="12">
        <v>2.12</v>
      </c>
      <c r="H9" s="13">
        <v>21.384</v>
      </c>
      <c r="I9" s="13">
        <v>1.4870000000000001</v>
      </c>
      <c r="K9" s="3">
        <v>8</v>
      </c>
      <c r="L9" s="3" t="s">
        <v>18</v>
      </c>
      <c r="M9">
        <v>0</v>
      </c>
      <c r="N9" s="17">
        <v>0</v>
      </c>
    </row>
    <row r="10" spans="1:14">
      <c r="A10" s="3">
        <f t="shared" si="0"/>
        <v>9</v>
      </c>
      <c r="B10" s="3" t="s">
        <v>43</v>
      </c>
      <c r="C10">
        <v>18.998000000000001</v>
      </c>
      <c r="D10">
        <v>1.1111</v>
      </c>
      <c r="F10" s="11">
        <v>8</v>
      </c>
      <c r="G10" s="12">
        <v>2.14</v>
      </c>
      <c r="H10" s="13">
        <v>21.271000000000001</v>
      </c>
      <c r="I10" s="13">
        <v>1.4930000000000001</v>
      </c>
      <c r="K10" s="3">
        <v>9</v>
      </c>
      <c r="L10" s="3" t="s">
        <v>19</v>
      </c>
      <c r="M10">
        <v>0</v>
      </c>
      <c r="N10" s="17">
        <v>0</v>
      </c>
    </row>
    <row r="11" spans="1:14">
      <c r="A11" s="3">
        <f t="shared" si="0"/>
        <v>10</v>
      </c>
      <c r="B11" s="3" t="s">
        <v>44</v>
      </c>
      <c r="C11">
        <v>20.18</v>
      </c>
      <c r="D11">
        <v>1.204</v>
      </c>
      <c r="F11" s="11">
        <v>9</v>
      </c>
      <c r="G11" s="12">
        <v>2.16</v>
      </c>
      <c r="H11" s="13">
        <v>21.158999999999999</v>
      </c>
      <c r="I11" s="13">
        <v>1.4990000000000001</v>
      </c>
      <c r="K11" s="3">
        <v>10</v>
      </c>
      <c r="L11" s="3" t="s">
        <v>20</v>
      </c>
      <c r="M11">
        <v>0.54169699999999998</v>
      </c>
      <c r="N11" s="17">
        <v>0.54169699999999998</v>
      </c>
    </row>
    <row r="12" spans="1:14">
      <c r="A12" s="3">
        <f t="shared" si="0"/>
        <v>11</v>
      </c>
      <c r="B12" s="3" t="s">
        <v>45</v>
      </c>
      <c r="C12">
        <v>22.99</v>
      </c>
      <c r="D12">
        <v>0.97</v>
      </c>
      <c r="F12" s="11">
        <v>10</v>
      </c>
      <c r="G12" s="12">
        <v>2.1800000000000002</v>
      </c>
      <c r="H12" s="13">
        <v>21.047999999999998</v>
      </c>
      <c r="I12" s="13">
        <v>1.5049999999999999</v>
      </c>
      <c r="K12" s="3">
        <v>11</v>
      </c>
      <c r="L12" s="3" t="s">
        <v>21</v>
      </c>
      <c r="M12">
        <v>0</v>
      </c>
      <c r="N12" s="17">
        <v>0</v>
      </c>
    </row>
    <row r="13" spans="1:14">
      <c r="A13" s="3">
        <f t="shared" si="0"/>
        <v>12</v>
      </c>
      <c r="B13" s="3" t="s">
        <v>46</v>
      </c>
      <c r="C13">
        <v>24.305</v>
      </c>
      <c r="D13">
        <v>1.7365999999999999</v>
      </c>
      <c r="F13" s="11">
        <v>11</v>
      </c>
      <c r="G13" s="12">
        <v>2.2000000000000002</v>
      </c>
      <c r="H13" s="13">
        <v>20.937000000000001</v>
      </c>
      <c r="I13" s="13">
        <v>1.51</v>
      </c>
      <c r="K13" s="3">
        <v>12</v>
      </c>
      <c r="L13" s="3" t="s">
        <v>22</v>
      </c>
      <c r="M13">
        <v>0.36544300000000002</v>
      </c>
      <c r="N13" s="17">
        <v>0.36544300000000002</v>
      </c>
    </row>
    <row r="14" spans="1:14">
      <c r="A14" s="3">
        <f t="shared" si="0"/>
        <v>13</v>
      </c>
      <c r="B14" s="3" t="s">
        <v>47</v>
      </c>
      <c r="C14">
        <v>26.981999999999999</v>
      </c>
      <c r="D14">
        <v>2.702</v>
      </c>
      <c r="F14" s="11">
        <v>12</v>
      </c>
      <c r="G14" s="12">
        <v>2.2200000000000002</v>
      </c>
      <c r="H14" s="13">
        <v>20.827999999999999</v>
      </c>
      <c r="I14" s="13">
        <v>1.516</v>
      </c>
      <c r="K14" s="3">
        <v>13</v>
      </c>
      <c r="L14" s="3" t="s">
        <v>23</v>
      </c>
      <c r="M14">
        <v>0</v>
      </c>
      <c r="N14" s="17">
        <v>0</v>
      </c>
    </row>
    <row r="15" spans="1:14">
      <c r="A15" s="3">
        <f t="shared" si="0"/>
        <v>14</v>
      </c>
      <c r="B15" s="3" t="s">
        <v>48</v>
      </c>
      <c r="C15">
        <v>28.085999999999999</v>
      </c>
      <c r="D15">
        <v>2.3212000000000002</v>
      </c>
      <c r="F15" s="11">
        <v>13</v>
      </c>
      <c r="G15" s="12">
        <v>2.2400000000000002</v>
      </c>
      <c r="H15" s="13">
        <v>20.719000000000001</v>
      </c>
      <c r="I15" s="13">
        <v>1.522</v>
      </c>
      <c r="K15" s="3">
        <v>14</v>
      </c>
      <c r="L15" s="3" t="s">
        <v>24</v>
      </c>
      <c r="M15">
        <v>-0.27930500000000003</v>
      </c>
      <c r="N15" s="17">
        <v>-0.27930500000000003</v>
      </c>
    </row>
    <row r="16" spans="1:14">
      <c r="A16" s="3">
        <f t="shared" si="0"/>
        <v>15</v>
      </c>
      <c r="B16" s="3" t="s">
        <v>49</v>
      </c>
      <c r="C16">
        <v>30.974</v>
      </c>
      <c r="D16">
        <v>1.8219000000000001</v>
      </c>
      <c r="F16" s="11">
        <v>14</v>
      </c>
      <c r="G16" s="12">
        <v>2.2599999999999998</v>
      </c>
      <c r="H16" s="13">
        <v>20.61</v>
      </c>
      <c r="I16" s="13">
        <v>1.5269999999999999</v>
      </c>
      <c r="K16" s="3">
        <v>15</v>
      </c>
      <c r="L16" s="3" t="s">
        <v>25</v>
      </c>
      <c r="M16">
        <v>0</v>
      </c>
      <c r="N16" s="17">
        <v>0</v>
      </c>
    </row>
    <row r="17" spans="1:14">
      <c r="A17" s="3">
        <f t="shared" si="0"/>
        <v>16</v>
      </c>
      <c r="B17" s="3" t="s">
        <v>50</v>
      </c>
      <c r="C17">
        <v>32.066000000000003</v>
      </c>
      <c r="D17">
        <v>2.0686</v>
      </c>
      <c r="F17" s="11">
        <v>15</v>
      </c>
      <c r="G17" s="12">
        <v>2.2799999999999998</v>
      </c>
      <c r="H17" s="13">
        <v>20.501999999999999</v>
      </c>
      <c r="I17" s="13">
        <v>1.5329999999999999</v>
      </c>
      <c r="K17" s="3">
        <v>16</v>
      </c>
      <c r="L17" s="3" t="s">
        <v>26</v>
      </c>
      <c r="M17">
        <v>0.87914000000000003</v>
      </c>
      <c r="N17" s="17">
        <v>0.87914000000000003</v>
      </c>
    </row>
    <row r="18" spans="1:14">
      <c r="A18" s="3">
        <f t="shared" si="0"/>
        <v>17</v>
      </c>
      <c r="B18" s="3" t="s">
        <v>51</v>
      </c>
      <c r="C18">
        <v>35.453000000000003</v>
      </c>
      <c r="D18">
        <v>1.8956</v>
      </c>
      <c r="F18" s="11">
        <v>16</v>
      </c>
      <c r="G18" s="12">
        <v>2.2999999999999998</v>
      </c>
      <c r="H18" s="13">
        <v>20.395</v>
      </c>
      <c r="I18" s="13">
        <v>1.538</v>
      </c>
      <c r="K18" s="3">
        <v>17</v>
      </c>
      <c r="L18" s="3" t="s">
        <v>27</v>
      </c>
      <c r="M18">
        <v>2.1779000000000002</v>
      </c>
      <c r="N18" s="17">
        <v>2.1779000000000002</v>
      </c>
    </row>
    <row r="19" spans="1:14">
      <c r="A19" s="3">
        <f t="shared" si="0"/>
        <v>18</v>
      </c>
      <c r="B19" s="3" t="s">
        <v>52</v>
      </c>
      <c r="C19">
        <v>39.948</v>
      </c>
      <c r="D19">
        <v>1.6504000000000001</v>
      </c>
      <c r="F19" s="11">
        <v>17</v>
      </c>
      <c r="G19" s="12">
        <v>2.3199999999999998</v>
      </c>
      <c r="H19" s="13">
        <v>20.289000000000001</v>
      </c>
      <c r="I19" s="13">
        <v>1.5429999999999999</v>
      </c>
      <c r="K19" s="3">
        <v>18</v>
      </c>
      <c r="L19" s="3" t="s">
        <v>28</v>
      </c>
      <c r="M19">
        <v>-6.7702099999999996E-3</v>
      </c>
      <c r="N19" s="17">
        <v>-6.7702099999999996E-3</v>
      </c>
    </row>
    <row r="20" spans="1:14">
      <c r="A20" s="3">
        <f t="shared" si="0"/>
        <v>19</v>
      </c>
      <c r="B20" s="3" t="s">
        <v>53</v>
      </c>
      <c r="C20">
        <v>39.097999999999999</v>
      </c>
      <c r="D20">
        <v>0.86319999999999997</v>
      </c>
      <c r="F20" s="11">
        <v>18</v>
      </c>
      <c r="G20" s="12">
        <v>2.34</v>
      </c>
      <c r="H20" s="13">
        <v>20.183</v>
      </c>
      <c r="I20" s="13">
        <v>1.5489999999999999</v>
      </c>
      <c r="K20" s="3">
        <v>19</v>
      </c>
      <c r="L20" s="3" t="s">
        <v>29</v>
      </c>
      <c r="M20">
        <v>0</v>
      </c>
      <c r="N20" s="17">
        <v>0</v>
      </c>
    </row>
    <row r="21" spans="1:14">
      <c r="A21" s="3">
        <f t="shared" si="0"/>
        <v>20</v>
      </c>
      <c r="B21" s="3" t="s">
        <v>54</v>
      </c>
      <c r="C21">
        <v>40.08</v>
      </c>
      <c r="D21">
        <v>1.54</v>
      </c>
      <c r="F21" s="11">
        <v>19</v>
      </c>
      <c r="G21" s="12">
        <v>2.36</v>
      </c>
      <c r="H21" s="13">
        <v>20.077999999999999</v>
      </c>
      <c r="I21" s="13">
        <v>1.554</v>
      </c>
      <c r="K21" s="3">
        <v>20</v>
      </c>
      <c r="L21" s="3" t="s">
        <v>30</v>
      </c>
      <c r="M21">
        <v>0</v>
      </c>
      <c r="N21" s="17">
        <v>0</v>
      </c>
    </row>
    <row r="22" spans="1:14">
      <c r="A22" s="3">
        <f t="shared" si="0"/>
        <v>21</v>
      </c>
      <c r="B22" s="3" t="s">
        <v>55</v>
      </c>
      <c r="C22">
        <v>44.956000000000003</v>
      </c>
      <c r="D22">
        <v>2.9889999999999999</v>
      </c>
      <c r="F22" s="11">
        <v>20</v>
      </c>
      <c r="G22" s="12">
        <v>2.38</v>
      </c>
      <c r="H22" s="13">
        <v>19.972999999999999</v>
      </c>
      <c r="I22" s="13">
        <v>1.5589999999999999</v>
      </c>
      <c r="K22" s="3">
        <v>21</v>
      </c>
      <c r="L22" s="3" t="s">
        <v>31</v>
      </c>
      <c r="M22">
        <v>2</v>
      </c>
      <c r="N22" s="17">
        <v>2</v>
      </c>
    </row>
    <row r="23" spans="1:14">
      <c r="A23" s="3">
        <f t="shared" si="0"/>
        <v>22</v>
      </c>
      <c r="B23" s="3" t="s">
        <v>56</v>
      </c>
      <c r="C23">
        <v>47.9</v>
      </c>
      <c r="D23">
        <v>4.5189000000000004</v>
      </c>
      <c r="F23" s="11">
        <v>21</v>
      </c>
      <c r="G23" s="12">
        <v>2.4</v>
      </c>
      <c r="H23" s="13">
        <v>19.869</v>
      </c>
      <c r="I23" s="13">
        <v>1.5640000000000001</v>
      </c>
      <c r="K23" s="3">
        <v>22</v>
      </c>
      <c r="L23" s="3" t="s">
        <v>32</v>
      </c>
      <c r="M23">
        <v>1.5</v>
      </c>
      <c r="N23" s="17">
        <v>1.5</v>
      </c>
    </row>
    <row r="24" spans="1:14">
      <c r="A24" s="3">
        <f t="shared" si="0"/>
        <v>23</v>
      </c>
      <c r="B24" s="3" t="s">
        <v>57</v>
      </c>
      <c r="C24">
        <v>50.942</v>
      </c>
      <c r="D24">
        <v>5.96</v>
      </c>
      <c r="F24" s="11">
        <v>22</v>
      </c>
      <c r="G24" s="12">
        <v>2.42</v>
      </c>
      <c r="H24" s="13">
        <v>19.765999999999998</v>
      </c>
      <c r="I24" s="13">
        <v>1.5680000000000001</v>
      </c>
    </row>
    <row r="25" spans="1:14">
      <c r="A25" s="3">
        <f t="shared" si="0"/>
        <v>24</v>
      </c>
      <c r="B25" s="3" t="s">
        <v>58</v>
      </c>
      <c r="C25">
        <v>51.996000000000002</v>
      </c>
      <c r="D25">
        <v>7.2</v>
      </c>
      <c r="F25" s="11">
        <v>23</v>
      </c>
      <c r="G25" s="12">
        <v>2.44</v>
      </c>
      <c r="H25" s="13">
        <v>19.663</v>
      </c>
      <c r="I25" s="13">
        <v>1.573</v>
      </c>
    </row>
    <row r="26" spans="1:14">
      <c r="A26" s="3">
        <f t="shared" si="0"/>
        <v>25</v>
      </c>
      <c r="B26" s="3" t="s">
        <v>59</v>
      </c>
      <c r="C26">
        <v>54.938000000000002</v>
      </c>
      <c r="D26">
        <v>7.4340999999999999</v>
      </c>
      <c r="F26" s="11">
        <v>24</v>
      </c>
      <c r="G26" s="12">
        <v>2.46</v>
      </c>
      <c r="H26" s="13">
        <v>19.561</v>
      </c>
      <c r="I26" s="13">
        <v>1.5780000000000001</v>
      </c>
    </row>
    <row r="27" spans="1:14">
      <c r="A27" s="3">
        <f t="shared" si="0"/>
        <v>26</v>
      </c>
      <c r="B27" s="3" t="s">
        <v>60</v>
      </c>
      <c r="C27">
        <v>55.847000000000001</v>
      </c>
      <c r="D27">
        <v>7.8658000000000001</v>
      </c>
      <c r="F27" s="11">
        <v>25</v>
      </c>
      <c r="G27" s="12">
        <v>2.48</v>
      </c>
      <c r="H27" s="13">
        <v>19.46</v>
      </c>
      <c r="I27" s="13">
        <v>1.5820000000000001</v>
      </c>
    </row>
    <row r="28" spans="1:14">
      <c r="A28" s="3">
        <f t="shared" si="0"/>
        <v>27</v>
      </c>
      <c r="B28" s="3" t="s">
        <v>61</v>
      </c>
      <c r="C28">
        <v>58.933</v>
      </c>
      <c r="D28">
        <v>8.9</v>
      </c>
      <c r="F28" s="11">
        <v>26</v>
      </c>
      <c r="G28" s="12">
        <v>2.5</v>
      </c>
      <c r="H28" s="13">
        <v>19.359000000000002</v>
      </c>
      <c r="I28" s="13">
        <v>1.587</v>
      </c>
    </row>
    <row r="29" spans="1:14">
      <c r="A29" s="3">
        <f t="shared" si="0"/>
        <v>28</v>
      </c>
      <c r="B29" s="3" t="s">
        <v>62</v>
      </c>
      <c r="C29">
        <v>58.69</v>
      </c>
      <c r="D29">
        <v>8.8955000000000002</v>
      </c>
      <c r="F29" s="11">
        <v>27</v>
      </c>
      <c r="G29" s="12">
        <v>2.52</v>
      </c>
      <c r="H29" s="13">
        <v>19.257999999999999</v>
      </c>
      <c r="I29" s="13">
        <v>1.591</v>
      </c>
    </row>
    <row r="30" spans="1:14">
      <c r="A30" s="3">
        <f t="shared" si="0"/>
        <v>29</v>
      </c>
      <c r="B30" s="3" t="s">
        <v>63</v>
      </c>
      <c r="C30">
        <v>63.545999999999999</v>
      </c>
      <c r="D30">
        <v>8.92</v>
      </c>
      <c r="F30" s="11">
        <v>28</v>
      </c>
      <c r="G30" s="12">
        <v>2.54</v>
      </c>
      <c r="H30" s="13">
        <v>19.158999999999999</v>
      </c>
      <c r="I30" s="13">
        <v>1.5960000000000001</v>
      </c>
    </row>
    <row r="31" spans="1:14">
      <c r="A31" s="3">
        <f t="shared" si="0"/>
        <v>30</v>
      </c>
      <c r="B31" s="3" t="s">
        <v>64</v>
      </c>
      <c r="C31">
        <v>65.39</v>
      </c>
      <c r="D31">
        <v>7.14</v>
      </c>
      <c r="F31" s="11">
        <v>29</v>
      </c>
      <c r="G31" s="12">
        <v>2.56</v>
      </c>
      <c r="H31" s="13">
        <v>19.059999999999999</v>
      </c>
      <c r="I31" s="13">
        <v>1.6</v>
      </c>
      <c r="L31" s="18"/>
    </row>
    <row r="32" spans="1:14">
      <c r="A32" s="3">
        <f t="shared" si="0"/>
        <v>31</v>
      </c>
      <c r="B32" s="3" t="s">
        <v>65</v>
      </c>
      <c r="C32">
        <v>69.72</v>
      </c>
      <c r="D32">
        <v>5.9039999999999999</v>
      </c>
      <c r="F32" s="11">
        <v>30</v>
      </c>
      <c r="G32" s="12">
        <v>2.58</v>
      </c>
      <c r="H32" s="13">
        <v>18.960999999999999</v>
      </c>
      <c r="I32" s="13">
        <v>1.6040000000000001</v>
      </c>
      <c r="L32" s="18"/>
    </row>
    <row r="33" spans="1:15">
      <c r="A33" s="3">
        <f t="shared" si="0"/>
        <v>32</v>
      </c>
      <c r="B33" s="3" t="s">
        <v>66</v>
      </c>
      <c r="C33">
        <v>72.61</v>
      </c>
      <c r="D33">
        <v>5.35</v>
      </c>
      <c r="F33" s="11">
        <v>31</v>
      </c>
      <c r="G33" s="12">
        <v>2.6</v>
      </c>
      <c r="H33" s="13">
        <v>18.863</v>
      </c>
      <c r="I33" s="13">
        <v>1.6080000000000001</v>
      </c>
      <c r="L33" s="18"/>
      <c r="M33" s="20"/>
    </row>
    <row r="34" spans="1:15">
      <c r="A34" s="3">
        <f t="shared" si="0"/>
        <v>33</v>
      </c>
      <c r="B34" s="3" t="s">
        <v>67</v>
      </c>
      <c r="C34">
        <v>74.921999999999997</v>
      </c>
      <c r="D34">
        <v>5.7270000000000003</v>
      </c>
      <c r="F34" s="11">
        <v>32</v>
      </c>
      <c r="G34" s="12">
        <v>2.62</v>
      </c>
      <c r="H34" s="13">
        <v>18.765999999999998</v>
      </c>
      <c r="I34" s="13">
        <v>1.6120000000000001</v>
      </c>
      <c r="M34" s="20"/>
    </row>
    <row r="35" spans="1:15">
      <c r="A35" s="3">
        <f t="shared" ref="A35:A66" si="1">1+A34</f>
        <v>34</v>
      </c>
      <c r="B35" s="3" t="s">
        <v>68</v>
      </c>
      <c r="C35">
        <v>78.959999999999994</v>
      </c>
      <c r="D35">
        <v>4.8099999999999996</v>
      </c>
      <c r="F35" s="11">
        <v>33</v>
      </c>
      <c r="G35" s="12">
        <v>2.64</v>
      </c>
      <c r="H35" s="13">
        <v>18.670000000000002</v>
      </c>
      <c r="I35" s="13">
        <v>1.6160000000000001</v>
      </c>
      <c r="M35"/>
    </row>
    <row r="36" spans="1:15">
      <c r="A36" s="3">
        <f t="shared" si="1"/>
        <v>35</v>
      </c>
      <c r="B36" s="3" t="s">
        <v>69</v>
      </c>
      <c r="C36">
        <v>79.903999999999996</v>
      </c>
      <c r="D36">
        <v>3.1989999999999998</v>
      </c>
      <c r="F36" s="11">
        <v>34</v>
      </c>
      <c r="G36" s="12">
        <v>2.66</v>
      </c>
      <c r="H36" s="13">
        <v>18.574000000000002</v>
      </c>
      <c r="I36" s="13">
        <v>1.62</v>
      </c>
      <c r="M36"/>
      <c r="N36" s="19"/>
      <c r="O36" s="3"/>
    </row>
    <row r="37" spans="1:15">
      <c r="A37" s="3">
        <f t="shared" si="1"/>
        <v>36</v>
      </c>
      <c r="B37" s="3" t="s">
        <v>70</v>
      </c>
      <c r="C37">
        <v>83.8</v>
      </c>
      <c r="D37">
        <v>2.6021000000000001</v>
      </c>
      <c r="F37" s="11">
        <v>35</v>
      </c>
      <c r="G37" s="12">
        <v>2.68</v>
      </c>
      <c r="H37" s="13">
        <v>18.478000000000002</v>
      </c>
      <c r="I37" s="13">
        <v>1.6240000000000001</v>
      </c>
      <c r="M37"/>
      <c r="N37" s="19"/>
      <c r="O37" s="3"/>
    </row>
    <row r="38" spans="1:15">
      <c r="A38" s="3">
        <f t="shared" si="1"/>
        <v>37</v>
      </c>
      <c r="B38" s="3" t="s">
        <v>71</v>
      </c>
      <c r="C38">
        <v>85.47</v>
      </c>
      <c r="D38">
        <v>1.532</v>
      </c>
      <c r="F38" s="11">
        <v>36</v>
      </c>
      <c r="G38" s="12">
        <v>2.7</v>
      </c>
      <c r="H38" s="13">
        <v>18.384</v>
      </c>
      <c r="I38" s="13">
        <v>1.6279999999999999</v>
      </c>
      <c r="M38"/>
      <c r="N38" s="19"/>
      <c r="O38" s="3"/>
    </row>
    <row r="39" spans="1:15">
      <c r="A39" s="3">
        <f t="shared" si="1"/>
        <v>38</v>
      </c>
      <c r="B39" s="3" t="s">
        <v>72</v>
      </c>
      <c r="C39">
        <v>87.62</v>
      </c>
      <c r="D39">
        <v>2.6</v>
      </c>
      <c r="F39" s="11">
        <v>37</v>
      </c>
      <c r="G39" s="12">
        <v>2.72</v>
      </c>
      <c r="H39" s="13">
        <v>18.289000000000001</v>
      </c>
      <c r="I39" s="13">
        <v>1.631</v>
      </c>
      <c r="M39"/>
    </row>
    <row r="40" spans="1:15">
      <c r="A40" s="3">
        <f t="shared" si="1"/>
        <v>39</v>
      </c>
      <c r="B40" s="3" t="s">
        <v>73</v>
      </c>
      <c r="C40">
        <v>88.905000000000001</v>
      </c>
      <c r="D40">
        <v>4.4690000000000003</v>
      </c>
      <c r="F40" s="11">
        <v>38</v>
      </c>
      <c r="G40" s="12">
        <v>2.74</v>
      </c>
      <c r="H40" s="13">
        <v>18.196000000000002</v>
      </c>
      <c r="I40" s="13">
        <v>1.635</v>
      </c>
      <c r="L40" s="19"/>
      <c r="M40" s="3"/>
    </row>
    <row r="41" spans="1:15">
      <c r="A41" s="3">
        <f t="shared" si="1"/>
        <v>40</v>
      </c>
      <c r="B41" s="3" t="s">
        <v>74</v>
      </c>
      <c r="C41">
        <v>91.22</v>
      </c>
      <c r="D41">
        <v>6.49</v>
      </c>
      <c r="F41" s="11">
        <v>39</v>
      </c>
      <c r="G41" s="12">
        <v>2.76</v>
      </c>
      <c r="H41" s="13">
        <v>18.103000000000002</v>
      </c>
      <c r="I41" s="13">
        <v>1.6379999999999999</v>
      </c>
      <c r="L41" s="11"/>
      <c r="M41"/>
    </row>
    <row r="42" spans="1:15">
      <c r="A42" s="3">
        <f t="shared" si="1"/>
        <v>41</v>
      </c>
      <c r="B42" s="3" t="s">
        <v>75</v>
      </c>
      <c r="C42">
        <v>92.906000000000006</v>
      </c>
      <c r="D42">
        <v>8.57</v>
      </c>
      <c r="F42" s="11">
        <v>40</v>
      </c>
      <c r="G42" s="12">
        <v>2.78</v>
      </c>
      <c r="H42" s="13">
        <v>18.010999999999999</v>
      </c>
      <c r="I42" s="13">
        <v>1.6419999999999999</v>
      </c>
      <c r="L42" s="11"/>
      <c r="M42"/>
    </row>
    <row r="43" spans="1:15">
      <c r="A43" s="3">
        <f t="shared" si="1"/>
        <v>42</v>
      </c>
      <c r="B43" s="3" t="s">
        <v>76</v>
      </c>
      <c r="C43">
        <v>95.94</v>
      </c>
      <c r="D43">
        <v>10.206</v>
      </c>
      <c r="F43" s="11">
        <v>41</v>
      </c>
      <c r="G43" s="12">
        <v>2.8</v>
      </c>
      <c r="H43" s="13">
        <v>17.919</v>
      </c>
      <c r="I43" s="13">
        <v>1.645</v>
      </c>
      <c r="L43" s="11"/>
      <c r="M43"/>
    </row>
    <row r="44" spans="1:15">
      <c r="A44" s="3">
        <f t="shared" si="1"/>
        <v>43</v>
      </c>
      <c r="B44" s="3" t="s">
        <v>77</v>
      </c>
      <c r="C44">
        <v>97</v>
      </c>
      <c r="D44">
        <v>11.5</v>
      </c>
      <c r="F44" s="11">
        <v>42</v>
      </c>
      <c r="G44" s="12">
        <v>2.82</v>
      </c>
      <c r="H44" s="13">
        <v>17.829000000000001</v>
      </c>
      <c r="I44" s="13">
        <v>1.649</v>
      </c>
      <c r="L44" s="11"/>
      <c r="M44"/>
    </row>
    <row r="45" spans="1:15">
      <c r="A45" s="3">
        <f t="shared" si="1"/>
        <v>44</v>
      </c>
      <c r="B45" s="3" t="s">
        <v>78</v>
      </c>
      <c r="C45">
        <v>101.07</v>
      </c>
      <c r="D45">
        <v>12.3</v>
      </c>
      <c r="F45" s="11">
        <v>43</v>
      </c>
      <c r="G45" s="12">
        <v>2.84</v>
      </c>
      <c r="H45" s="13">
        <v>17.738</v>
      </c>
      <c r="I45" s="13">
        <v>1.6519999999999999</v>
      </c>
      <c r="L45" s="11"/>
      <c r="M45"/>
    </row>
    <row r="46" spans="1:15">
      <c r="A46" s="3">
        <f t="shared" si="1"/>
        <v>45</v>
      </c>
      <c r="B46" s="3" t="s">
        <v>79</v>
      </c>
      <c r="C46">
        <v>102.91</v>
      </c>
      <c r="D46">
        <v>12.398999999999999</v>
      </c>
      <c r="F46" s="11">
        <v>44</v>
      </c>
      <c r="G46" s="12">
        <v>2.86</v>
      </c>
      <c r="H46" s="13">
        <v>17.649000000000001</v>
      </c>
      <c r="I46" s="13">
        <v>1.655</v>
      </c>
      <c r="L46" s="11"/>
      <c r="M46"/>
    </row>
    <row r="47" spans="1:15">
      <c r="A47" s="3">
        <f t="shared" si="1"/>
        <v>46</v>
      </c>
      <c r="B47" s="3" t="s">
        <v>80</v>
      </c>
      <c r="C47">
        <v>106.4</v>
      </c>
      <c r="D47">
        <v>12.02</v>
      </c>
      <c r="F47" s="11">
        <v>45</v>
      </c>
      <c r="G47" s="12">
        <v>2.88</v>
      </c>
      <c r="H47" s="13">
        <v>17.559999999999999</v>
      </c>
      <c r="I47" s="13">
        <v>1.6579999999999999</v>
      </c>
      <c r="L47" s="11"/>
      <c r="M47"/>
    </row>
    <row r="48" spans="1:15">
      <c r="A48" s="3">
        <f t="shared" si="1"/>
        <v>47</v>
      </c>
      <c r="B48" s="3" t="s">
        <v>81</v>
      </c>
      <c r="C48">
        <v>107.87</v>
      </c>
      <c r="D48">
        <v>10.473000000000001</v>
      </c>
      <c r="F48" s="11">
        <v>46</v>
      </c>
      <c r="G48" s="12">
        <v>2.9</v>
      </c>
      <c r="H48" s="13">
        <v>17.471</v>
      </c>
      <c r="I48" s="13">
        <v>1.661</v>
      </c>
      <c r="L48" s="11"/>
      <c r="M48"/>
    </row>
    <row r="49" spans="1:13">
      <c r="A49" s="3">
        <f t="shared" si="1"/>
        <v>48</v>
      </c>
      <c r="B49" s="3" t="s">
        <v>82</v>
      </c>
      <c r="C49">
        <v>112.4</v>
      </c>
      <c r="D49">
        <v>8.6419999999999995</v>
      </c>
      <c r="F49" s="11">
        <v>47</v>
      </c>
      <c r="G49" s="12">
        <v>2.92</v>
      </c>
      <c r="H49" s="13">
        <v>17.384</v>
      </c>
      <c r="I49" s="13">
        <v>1.6639999999999999</v>
      </c>
      <c r="L49" s="11"/>
      <c r="M49"/>
    </row>
    <row r="50" spans="1:13">
      <c r="A50" s="3">
        <f t="shared" si="1"/>
        <v>49</v>
      </c>
      <c r="B50" s="3" t="s">
        <v>83</v>
      </c>
      <c r="C50">
        <v>114.82</v>
      </c>
      <c r="D50">
        <v>7.3</v>
      </c>
      <c r="F50" s="11">
        <v>48</v>
      </c>
      <c r="G50" s="12">
        <v>2.94</v>
      </c>
      <c r="H50" s="13">
        <v>17.297000000000001</v>
      </c>
      <c r="I50" s="13">
        <v>1.667</v>
      </c>
      <c r="L50" s="11"/>
      <c r="M50"/>
    </row>
    <row r="51" spans="1:13">
      <c r="A51" s="3">
        <f t="shared" si="1"/>
        <v>50</v>
      </c>
      <c r="B51" s="3" t="s">
        <v>84</v>
      </c>
      <c r="C51">
        <v>118.71</v>
      </c>
      <c r="D51">
        <v>7.2816000000000001</v>
      </c>
      <c r="F51" s="11">
        <v>49</v>
      </c>
      <c r="G51" s="12">
        <v>2.96</v>
      </c>
      <c r="H51" s="13">
        <v>17.21</v>
      </c>
      <c r="I51" s="13">
        <v>1.67</v>
      </c>
      <c r="L51" s="11"/>
      <c r="M51"/>
    </row>
    <row r="52" spans="1:13">
      <c r="A52" s="3">
        <f t="shared" si="1"/>
        <v>51</v>
      </c>
      <c r="B52" s="3" t="s">
        <v>85</v>
      </c>
      <c r="C52">
        <v>121.75</v>
      </c>
      <c r="D52">
        <v>6.6840000000000002</v>
      </c>
      <c r="F52" s="11">
        <v>50</v>
      </c>
      <c r="G52" s="12">
        <v>2.98</v>
      </c>
      <c r="H52" s="13">
        <v>17.125</v>
      </c>
      <c r="I52" s="13">
        <v>1.673</v>
      </c>
      <c r="L52" s="11"/>
      <c r="M52"/>
    </row>
    <row r="53" spans="1:13">
      <c r="A53" s="3">
        <f t="shared" si="1"/>
        <v>52</v>
      </c>
      <c r="B53" s="3" t="s">
        <v>86</v>
      </c>
      <c r="C53">
        <v>127.6</v>
      </c>
      <c r="D53">
        <v>6.25</v>
      </c>
      <c r="F53" s="11">
        <v>51</v>
      </c>
      <c r="G53" s="12">
        <v>3</v>
      </c>
      <c r="H53" s="13">
        <v>17.039000000000001</v>
      </c>
      <c r="I53" s="13">
        <v>1.6759999999999999</v>
      </c>
      <c r="L53" s="11"/>
      <c r="M53"/>
    </row>
    <row r="54" spans="1:13">
      <c r="A54" s="3">
        <f t="shared" si="1"/>
        <v>53</v>
      </c>
      <c r="B54" s="3" t="s">
        <v>87</v>
      </c>
      <c r="C54">
        <v>126.9</v>
      </c>
      <c r="D54">
        <v>4.9372999999999996</v>
      </c>
      <c r="F54" s="11">
        <v>52</v>
      </c>
      <c r="G54" s="12">
        <v>3.02</v>
      </c>
      <c r="H54" s="13">
        <v>16.954999999999998</v>
      </c>
      <c r="I54" s="13">
        <v>1.6789999999999998</v>
      </c>
      <c r="L54" s="11"/>
      <c r="M54"/>
    </row>
    <row r="55" spans="1:13">
      <c r="A55" s="3">
        <f t="shared" si="1"/>
        <v>54</v>
      </c>
      <c r="B55" s="3" t="s">
        <v>88</v>
      </c>
      <c r="C55">
        <v>131.30000000000001</v>
      </c>
      <c r="D55">
        <v>3.0589</v>
      </c>
      <c r="F55" s="11">
        <v>53</v>
      </c>
      <c r="G55" s="12">
        <v>3.04</v>
      </c>
      <c r="H55" s="13">
        <v>16.870999999999999</v>
      </c>
      <c r="I55" s="13">
        <v>1.6819999999999997</v>
      </c>
      <c r="L55" s="11"/>
      <c r="M55"/>
    </row>
    <row r="56" spans="1:13">
      <c r="A56" s="3">
        <f t="shared" si="1"/>
        <v>55</v>
      </c>
      <c r="B56" s="3" t="s">
        <v>89</v>
      </c>
      <c r="C56">
        <v>132.91</v>
      </c>
      <c r="D56">
        <v>1.8785000000000001</v>
      </c>
      <c r="F56" s="11">
        <v>54</v>
      </c>
      <c r="G56" s="12">
        <v>3.06</v>
      </c>
      <c r="H56" s="13">
        <v>16.788</v>
      </c>
      <c r="I56" s="13">
        <v>1.6850000000000001</v>
      </c>
      <c r="L56" s="11"/>
      <c r="M56"/>
    </row>
    <row r="57" spans="1:13">
      <c r="A57" s="3">
        <f t="shared" si="1"/>
        <v>56</v>
      </c>
      <c r="B57" s="3" t="s">
        <v>90</v>
      </c>
      <c r="C57">
        <v>137.327</v>
      </c>
      <c r="D57">
        <v>3.51</v>
      </c>
      <c r="F57" s="11">
        <v>55</v>
      </c>
      <c r="G57" s="12">
        <v>3.08</v>
      </c>
      <c r="H57" s="13">
        <v>16.706</v>
      </c>
      <c r="I57" s="13">
        <v>1.6870000000000001</v>
      </c>
      <c r="L57" s="11"/>
      <c r="M57"/>
    </row>
    <row r="58" spans="1:13">
      <c r="A58" s="3">
        <f t="shared" si="1"/>
        <v>57</v>
      </c>
      <c r="B58" s="3" t="s">
        <v>91</v>
      </c>
      <c r="C58">
        <v>138.91</v>
      </c>
      <c r="D58">
        <v>6.1738</v>
      </c>
      <c r="F58" s="11">
        <v>56</v>
      </c>
      <c r="G58" s="12">
        <v>3.1</v>
      </c>
      <c r="H58" s="13">
        <v>16.623999999999999</v>
      </c>
      <c r="I58" s="13">
        <v>1.69</v>
      </c>
      <c r="L58" s="11"/>
      <c r="M58"/>
    </row>
    <row r="59" spans="1:13">
      <c r="A59" s="3">
        <f t="shared" si="1"/>
        <v>58</v>
      </c>
      <c r="B59" s="3" t="s">
        <v>92</v>
      </c>
      <c r="C59">
        <v>140.12</v>
      </c>
      <c r="D59">
        <v>6.6723999999999997</v>
      </c>
      <c r="F59" s="11">
        <v>57</v>
      </c>
      <c r="G59" s="12">
        <v>3.12</v>
      </c>
      <c r="H59" s="13">
        <v>16.542999999999999</v>
      </c>
      <c r="I59" s="13">
        <v>1.6919999999999999</v>
      </c>
      <c r="L59" s="11"/>
      <c r="M59"/>
    </row>
    <row r="60" spans="1:13">
      <c r="A60" s="3">
        <f t="shared" si="1"/>
        <v>59</v>
      </c>
      <c r="B60" s="3" t="s">
        <v>93</v>
      </c>
      <c r="C60">
        <v>140.91</v>
      </c>
      <c r="D60">
        <v>6.7729999999999997</v>
      </c>
      <c r="F60" s="11">
        <v>58</v>
      </c>
      <c r="G60" s="12">
        <v>3.14</v>
      </c>
      <c r="H60" s="13">
        <v>16.462</v>
      </c>
      <c r="I60" s="13">
        <v>1.6950000000000001</v>
      </c>
      <c r="L60" s="11"/>
      <c r="M60"/>
    </row>
    <row r="61" spans="1:13">
      <c r="A61" s="3">
        <f t="shared" si="1"/>
        <v>60</v>
      </c>
      <c r="B61" s="3" t="s">
        <v>94</v>
      </c>
      <c r="C61">
        <v>144.24</v>
      </c>
      <c r="D61">
        <v>7.008</v>
      </c>
      <c r="F61" s="11">
        <v>59</v>
      </c>
      <c r="G61" s="12">
        <v>3.16</v>
      </c>
      <c r="H61" s="13">
        <v>16.382000000000001</v>
      </c>
      <c r="I61" s="13">
        <v>1.6970000000000001</v>
      </c>
      <c r="L61" s="11"/>
      <c r="M61"/>
    </row>
    <row r="62" spans="1:13">
      <c r="A62" s="3">
        <f t="shared" si="1"/>
        <v>61</v>
      </c>
      <c r="B62" s="3" t="s">
        <v>95</v>
      </c>
      <c r="C62">
        <v>148</v>
      </c>
      <c r="D62">
        <v>6.4749999999999996</v>
      </c>
      <c r="F62" s="11">
        <v>60</v>
      </c>
      <c r="G62" s="12">
        <v>3.18</v>
      </c>
      <c r="H62" s="13">
        <v>16.303000000000001</v>
      </c>
      <c r="I62" s="13">
        <v>1.7</v>
      </c>
      <c r="L62" s="11"/>
      <c r="M62"/>
    </row>
    <row r="63" spans="1:13">
      <c r="A63" s="3">
        <f t="shared" si="1"/>
        <v>62</v>
      </c>
      <c r="B63" s="3" t="s">
        <v>96</v>
      </c>
      <c r="C63">
        <v>150.36000000000001</v>
      </c>
      <c r="D63">
        <v>7.52</v>
      </c>
      <c r="F63" s="11">
        <v>61</v>
      </c>
      <c r="G63" s="12">
        <v>3.2</v>
      </c>
      <c r="H63" s="13">
        <v>16.224</v>
      </c>
      <c r="I63" s="13">
        <v>1.702</v>
      </c>
      <c r="L63" s="11"/>
      <c r="M63"/>
    </row>
    <row r="64" spans="1:13">
      <c r="A64" s="3">
        <f t="shared" si="1"/>
        <v>63</v>
      </c>
      <c r="B64" s="3" t="s">
        <v>97</v>
      </c>
      <c r="C64">
        <v>151.97</v>
      </c>
      <c r="D64">
        <v>5.2439999999999998</v>
      </c>
      <c r="F64" s="11">
        <v>62</v>
      </c>
      <c r="G64" s="12">
        <v>3.22</v>
      </c>
      <c r="H64" s="13">
        <v>16.146000000000001</v>
      </c>
      <c r="I64" s="13">
        <v>1.7050000000000001</v>
      </c>
      <c r="L64" s="11"/>
      <c r="M64"/>
    </row>
    <row r="65" spans="1:13">
      <c r="A65" s="3">
        <f t="shared" si="1"/>
        <v>64</v>
      </c>
      <c r="B65" s="3" t="s">
        <v>98</v>
      </c>
      <c r="C65">
        <v>157.25</v>
      </c>
      <c r="D65">
        <v>7.9009999999999998</v>
      </c>
      <c r="F65" s="11">
        <v>63</v>
      </c>
      <c r="G65" s="12">
        <v>3.24</v>
      </c>
      <c r="H65" s="13">
        <v>16.068999999999999</v>
      </c>
      <c r="I65" s="13">
        <v>1.7070000000000001</v>
      </c>
      <c r="L65" s="11"/>
      <c r="M65"/>
    </row>
    <row r="66" spans="1:13">
      <c r="A66" s="3">
        <f t="shared" si="1"/>
        <v>65</v>
      </c>
      <c r="B66" s="3" t="s">
        <v>99</v>
      </c>
      <c r="C66">
        <v>158.93</v>
      </c>
      <c r="D66">
        <v>8.23</v>
      </c>
      <c r="F66" s="11">
        <v>64</v>
      </c>
      <c r="G66" s="12">
        <v>3.26</v>
      </c>
      <c r="H66" s="13">
        <v>15.992000000000001</v>
      </c>
      <c r="I66" s="13">
        <v>1.71</v>
      </c>
      <c r="L66" s="11"/>
      <c r="M66"/>
    </row>
    <row r="67" spans="1:13">
      <c r="A67" s="3">
        <f t="shared" ref="A67:A98" si="2">1+A66</f>
        <v>66</v>
      </c>
      <c r="B67" s="3" t="s">
        <v>100</v>
      </c>
      <c r="C67">
        <v>162.5</v>
      </c>
      <c r="D67">
        <v>8.5510000000000002</v>
      </c>
      <c r="F67" s="11">
        <v>65</v>
      </c>
      <c r="G67" s="12">
        <v>3.28</v>
      </c>
      <c r="H67" s="13">
        <v>15.916</v>
      </c>
      <c r="I67" s="13">
        <v>1.712</v>
      </c>
      <c r="L67" s="11"/>
      <c r="M67"/>
    </row>
    <row r="68" spans="1:13">
      <c r="A68" s="3">
        <f t="shared" si="2"/>
        <v>67</v>
      </c>
      <c r="B68" s="3" t="s">
        <v>101</v>
      </c>
      <c r="C68">
        <v>164.93</v>
      </c>
      <c r="D68">
        <v>8.7949999999999999</v>
      </c>
      <c r="F68" s="11">
        <v>66</v>
      </c>
      <c r="G68" s="12">
        <v>3.3</v>
      </c>
      <c r="H68" s="13">
        <v>15.840999999999999</v>
      </c>
      <c r="I68" s="13">
        <v>1.714</v>
      </c>
      <c r="L68" s="11"/>
      <c r="M68"/>
    </row>
    <row r="69" spans="1:13">
      <c r="A69" s="3">
        <f t="shared" si="2"/>
        <v>68</v>
      </c>
      <c r="B69" s="3" t="s">
        <v>102</v>
      </c>
      <c r="C69">
        <v>167.26</v>
      </c>
      <c r="D69">
        <v>9.0660000000000007</v>
      </c>
      <c r="F69" s="11">
        <v>67</v>
      </c>
      <c r="G69" s="12">
        <v>3.32</v>
      </c>
      <c r="H69" s="13">
        <v>15.766</v>
      </c>
      <c r="I69" s="13">
        <v>1.716</v>
      </c>
      <c r="L69" s="11"/>
      <c r="M69"/>
    </row>
    <row r="70" spans="1:13">
      <c r="A70" s="3">
        <f t="shared" si="2"/>
        <v>69</v>
      </c>
      <c r="B70" s="3" t="s">
        <v>103</v>
      </c>
      <c r="C70">
        <v>168.93</v>
      </c>
      <c r="D70">
        <v>9.3209999999999997</v>
      </c>
      <c r="F70" s="11">
        <v>68</v>
      </c>
      <c r="G70" s="12">
        <v>3.34</v>
      </c>
      <c r="H70" s="13">
        <v>15.691000000000001</v>
      </c>
      <c r="I70" s="13">
        <v>1.7189999999999999</v>
      </c>
      <c r="L70" s="11"/>
      <c r="M70"/>
    </row>
    <row r="71" spans="1:13">
      <c r="A71" s="3">
        <f t="shared" si="2"/>
        <v>70</v>
      </c>
      <c r="B71" s="3" t="s">
        <v>104</v>
      </c>
      <c r="C71">
        <v>173.04</v>
      </c>
      <c r="D71">
        <v>6.96</v>
      </c>
      <c r="F71" s="11">
        <v>69</v>
      </c>
      <c r="G71" s="12">
        <v>3.36</v>
      </c>
      <c r="H71" s="13">
        <v>15.618</v>
      </c>
      <c r="I71" s="13">
        <v>1.7209999999999999</v>
      </c>
      <c r="L71" s="11"/>
      <c r="M71"/>
    </row>
    <row r="72" spans="1:13">
      <c r="A72" s="3">
        <f t="shared" si="2"/>
        <v>71</v>
      </c>
      <c r="B72" s="3" t="s">
        <v>105</v>
      </c>
      <c r="C72">
        <v>174.97</v>
      </c>
      <c r="D72">
        <v>9.8409999999999993</v>
      </c>
      <c r="F72" s="11">
        <v>70</v>
      </c>
      <c r="G72" s="12">
        <v>3.38</v>
      </c>
      <c r="H72" s="13">
        <v>15.545</v>
      </c>
      <c r="I72" s="13">
        <v>1.7229999999999999</v>
      </c>
      <c r="L72" s="11"/>
      <c r="M72"/>
    </row>
    <row r="73" spans="1:13">
      <c r="A73" s="3">
        <f t="shared" si="2"/>
        <v>72</v>
      </c>
      <c r="B73" s="3" t="s">
        <v>106</v>
      </c>
      <c r="C73">
        <v>178.49</v>
      </c>
      <c r="D73">
        <v>13.31</v>
      </c>
      <c r="F73" s="11">
        <v>71</v>
      </c>
      <c r="G73" s="12">
        <v>3.4</v>
      </c>
      <c r="H73" s="13">
        <v>15.472</v>
      </c>
      <c r="I73" s="13">
        <v>1.7250000000000001</v>
      </c>
      <c r="L73" s="11"/>
      <c r="M73"/>
    </row>
    <row r="74" spans="1:13">
      <c r="A74" s="3">
        <f t="shared" si="2"/>
        <v>73</v>
      </c>
      <c r="B74" s="3" t="s">
        <v>107</v>
      </c>
      <c r="C74">
        <v>180.95</v>
      </c>
      <c r="D74">
        <v>16.600999999999999</v>
      </c>
      <c r="F74" s="11">
        <v>72</v>
      </c>
      <c r="G74" s="12">
        <v>3.42</v>
      </c>
      <c r="H74" s="13">
        <v>15.4</v>
      </c>
      <c r="I74" s="13">
        <v>1.7269999999999999</v>
      </c>
      <c r="L74" s="11"/>
      <c r="M74"/>
    </row>
    <row r="75" spans="1:13">
      <c r="A75" s="3">
        <f t="shared" si="2"/>
        <v>74</v>
      </c>
      <c r="B75" s="3" t="s">
        <v>108</v>
      </c>
      <c r="C75">
        <v>183.85</v>
      </c>
      <c r="D75">
        <v>19.350000000000001</v>
      </c>
      <c r="F75" s="11">
        <v>73</v>
      </c>
      <c r="G75" s="12">
        <v>3.44</v>
      </c>
      <c r="H75" s="13">
        <v>15.329000000000001</v>
      </c>
      <c r="I75" s="13">
        <v>1.7289999999999999</v>
      </c>
      <c r="L75" s="11"/>
      <c r="M75"/>
    </row>
    <row r="76" spans="1:13">
      <c r="A76" s="3">
        <f t="shared" si="2"/>
        <v>75</v>
      </c>
      <c r="B76" s="3" t="s">
        <v>109</v>
      </c>
      <c r="C76">
        <v>186.2</v>
      </c>
      <c r="D76">
        <v>20.53</v>
      </c>
      <c r="F76" s="11">
        <v>74</v>
      </c>
      <c r="G76" s="12">
        <v>3.46</v>
      </c>
      <c r="H76" s="13">
        <v>15.257999999999999</v>
      </c>
      <c r="I76" s="13">
        <v>1.7309999999999999</v>
      </c>
      <c r="L76" s="11"/>
      <c r="M76"/>
    </row>
    <row r="77" spans="1:13">
      <c r="A77" s="3">
        <f t="shared" si="2"/>
        <v>76</v>
      </c>
      <c r="B77" s="3" t="s">
        <v>110</v>
      </c>
      <c r="C77">
        <v>190.2</v>
      </c>
      <c r="D77">
        <v>22.48</v>
      </c>
      <c r="F77" s="11">
        <v>75</v>
      </c>
      <c r="G77" s="12">
        <v>3.48</v>
      </c>
      <c r="H77" s="13">
        <v>15.188000000000001</v>
      </c>
      <c r="I77" s="13">
        <v>1.7329999999999999</v>
      </c>
      <c r="L77" s="11"/>
      <c r="M77"/>
    </row>
    <row r="78" spans="1:13">
      <c r="A78" s="3">
        <f t="shared" si="2"/>
        <v>77</v>
      </c>
      <c r="B78" s="3" t="s">
        <v>111</v>
      </c>
      <c r="C78">
        <v>192.2</v>
      </c>
      <c r="D78">
        <v>22.420999999999999</v>
      </c>
      <c r="F78" s="11">
        <v>76</v>
      </c>
      <c r="G78" s="12">
        <v>3.5</v>
      </c>
      <c r="H78" s="13">
        <v>15.119</v>
      </c>
      <c r="I78" s="13">
        <v>1.7350000000000001</v>
      </c>
      <c r="L78" s="11"/>
      <c r="M78"/>
    </row>
    <row r="79" spans="1:13">
      <c r="A79" s="3">
        <f t="shared" si="2"/>
        <v>78</v>
      </c>
      <c r="B79" s="3" t="s">
        <v>112</v>
      </c>
      <c r="C79">
        <v>195.08</v>
      </c>
      <c r="D79">
        <v>21.45</v>
      </c>
      <c r="F79" s="11">
        <v>77</v>
      </c>
      <c r="G79" s="12">
        <v>3.52</v>
      </c>
      <c r="H79" s="13">
        <v>15.05</v>
      </c>
      <c r="I79" s="13">
        <v>1.7369999999999999</v>
      </c>
      <c r="L79" s="11"/>
      <c r="M79"/>
    </row>
    <row r="80" spans="1:13">
      <c r="A80" s="3">
        <f t="shared" si="2"/>
        <v>79</v>
      </c>
      <c r="B80" s="3" t="s">
        <v>113</v>
      </c>
      <c r="C80">
        <v>196.97</v>
      </c>
      <c r="D80">
        <v>19.311</v>
      </c>
      <c r="F80" s="11">
        <v>78</v>
      </c>
      <c r="G80" s="12">
        <v>3.54</v>
      </c>
      <c r="H80" s="13">
        <v>14.981</v>
      </c>
      <c r="I80" s="13">
        <v>1.7389999999999999</v>
      </c>
      <c r="L80" s="11"/>
      <c r="M80"/>
    </row>
    <row r="81" spans="1:13">
      <c r="A81" s="3">
        <f t="shared" si="2"/>
        <v>80</v>
      </c>
      <c r="B81" s="3" t="s">
        <v>114</v>
      </c>
      <c r="C81">
        <v>200.59</v>
      </c>
      <c r="D81">
        <v>13.546200000000001</v>
      </c>
      <c r="F81" s="11">
        <v>79</v>
      </c>
      <c r="G81" s="12">
        <v>3.56</v>
      </c>
      <c r="H81" s="13">
        <v>14.913</v>
      </c>
      <c r="I81" s="13">
        <v>1.7409999999999999</v>
      </c>
      <c r="L81" s="11"/>
      <c r="M81"/>
    </row>
    <row r="82" spans="1:13">
      <c r="A82" s="3">
        <f t="shared" si="2"/>
        <v>81</v>
      </c>
      <c r="B82" s="3" t="s">
        <v>115</v>
      </c>
      <c r="C82">
        <v>204.38</v>
      </c>
      <c r="D82">
        <v>11.85</v>
      </c>
      <c r="F82" s="11">
        <v>80</v>
      </c>
      <c r="G82" s="12">
        <v>3.58</v>
      </c>
      <c r="H82" s="13">
        <v>14.846</v>
      </c>
      <c r="I82" s="13">
        <v>1.7429999999999999</v>
      </c>
      <c r="L82" s="11"/>
      <c r="M82"/>
    </row>
    <row r="83" spans="1:13">
      <c r="A83" s="3">
        <f t="shared" si="2"/>
        <v>82</v>
      </c>
      <c r="B83" s="3" t="s">
        <v>116</v>
      </c>
      <c r="C83">
        <v>207.19</v>
      </c>
      <c r="D83">
        <v>11.3437</v>
      </c>
      <c r="F83" s="11">
        <v>81</v>
      </c>
      <c r="G83" s="12">
        <v>3.6</v>
      </c>
      <c r="H83" s="13">
        <v>14.779</v>
      </c>
      <c r="I83" s="13">
        <v>1.7450000000000001</v>
      </c>
      <c r="L83" s="11"/>
      <c r="M83"/>
    </row>
    <row r="84" spans="1:13">
      <c r="A84" s="3">
        <f t="shared" si="2"/>
        <v>83</v>
      </c>
      <c r="B84" s="3" t="s">
        <v>117</v>
      </c>
      <c r="C84">
        <v>208.98</v>
      </c>
      <c r="D84">
        <v>9.8000000000000007</v>
      </c>
      <c r="F84" s="11">
        <v>82</v>
      </c>
      <c r="G84" s="12">
        <v>3.62</v>
      </c>
      <c r="H84" s="13">
        <v>14.712999999999999</v>
      </c>
      <c r="I84" s="13">
        <v>1.746</v>
      </c>
      <c r="L84" s="11"/>
      <c r="M84"/>
    </row>
    <row r="85" spans="1:13">
      <c r="A85" s="3">
        <f t="shared" si="2"/>
        <v>84</v>
      </c>
      <c r="B85" s="3" t="s">
        <v>118</v>
      </c>
      <c r="C85">
        <v>210</v>
      </c>
      <c r="D85">
        <v>9.2510999999999992</v>
      </c>
      <c r="F85" s="11">
        <v>83</v>
      </c>
      <c r="G85" s="12">
        <v>3.64</v>
      </c>
      <c r="H85" s="13">
        <v>14.647</v>
      </c>
      <c r="I85" s="13">
        <v>1.748</v>
      </c>
      <c r="L85" s="11"/>
      <c r="M85"/>
    </row>
    <row r="86" spans="1:13">
      <c r="A86" s="3">
        <f t="shared" si="2"/>
        <v>85</v>
      </c>
      <c r="B86" s="3" t="s">
        <v>119</v>
      </c>
      <c r="C86">
        <v>210</v>
      </c>
      <c r="D86">
        <v>10</v>
      </c>
      <c r="F86" s="11">
        <v>84</v>
      </c>
      <c r="G86" s="12">
        <v>3.66</v>
      </c>
      <c r="H86" s="13">
        <v>14.582000000000001</v>
      </c>
      <c r="I86" s="13">
        <v>1.75</v>
      </c>
      <c r="L86" s="11"/>
      <c r="M86"/>
    </row>
    <row r="87" spans="1:13">
      <c r="A87" s="3">
        <f t="shared" si="2"/>
        <v>86</v>
      </c>
      <c r="B87" s="3" t="s">
        <v>120</v>
      </c>
      <c r="C87">
        <v>222</v>
      </c>
      <c r="D87">
        <v>9.91</v>
      </c>
      <c r="F87" s="11">
        <v>85</v>
      </c>
      <c r="G87" s="12">
        <v>3.68</v>
      </c>
      <c r="H87" s="13">
        <v>14.518000000000001</v>
      </c>
      <c r="I87" s="13">
        <v>1.752</v>
      </c>
      <c r="L87" s="11"/>
      <c r="M87"/>
    </row>
    <row r="88" spans="1:13">
      <c r="A88" s="3">
        <f t="shared" si="2"/>
        <v>87</v>
      </c>
      <c r="B88" s="3" t="s">
        <v>121</v>
      </c>
      <c r="C88">
        <v>223</v>
      </c>
      <c r="D88">
        <v>10</v>
      </c>
      <c r="F88" s="11">
        <v>86</v>
      </c>
      <c r="G88" s="12">
        <v>3.7</v>
      </c>
      <c r="H88" s="13">
        <v>14.454000000000001</v>
      </c>
      <c r="I88" s="13">
        <v>1.754</v>
      </c>
      <c r="L88" s="11"/>
      <c r="M88"/>
    </row>
    <row r="89" spans="1:13">
      <c r="A89" s="3">
        <f t="shared" si="2"/>
        <v>88</v>
      </c>
      <c r="B89" s="3" t="s">
        <v>122</v>
      </c>
      <c r="C89">
        <v>226</v>
      </c>
      <c r="D89">
        <v>5.0221999999999998</v>
      </c>
      <c r="F89" s="11">
        <v>87</v>
      </c>
      <c r="G89" s="12">
        <v>3.72</v>
      </c>
      <c r="H89" s="13">
        <v>14.39</v>
      </c>
      <c r="I89" s="13">
        <v>1.7549999999999999</v>
      </c>
      <c r="L89" s="11"/>
      <c r="M89"/>
    </row>
    <row r="90" spans="1:13">
      <c r="A90" s="3">
        <f t="shared" si="2"/>
        <v>89</v>
      </c>
      <c r="B90" s="3" t="s">
        <v>123</v>
      </c>
      <c r="C90">
        <v>227</v>
      </c>
      <c r="D90">
        <v>10</v>
      </c>
      <c r="F90" s="11">
        <v>88</v>
      </c>
      <c r="G90" s="12">
        <v>3.74</v>
      </c>
      <c r="H90" s="13">
        <v>14.327</v>
      </c>
      <c r="I90" s="13">
        <v>1.7569999999999999</v>
      </c>
      <c r="L90" s="11"/>
      <c r="M90"/>
    </row>
    <row r="91" spans="1:13">
      <c r="A91" s="3">
        <f t="shared" si="2"/>
        <v>90</v>
      </c>
      <c r="B91" s="3" t="s">
        <v>124</v>
      </c>
      <c r="C91">
        <v>232</v>
      </c>
      <c r="D91">
        <v>11.657999999999999</v>
      </c>
      <c r="F91" s="11">
        <v>89</v>
      </c>
      <c r="G91" s="12">
        <v>3.76</v>
      </c>
      <c r="H91" s="13">
        <v>14.263999999999999</v>
      </c>
      <c r="I91" s="13">
        <v>1.7589999999999999</v>
      </c>
      <c r="L91" s="11"/>
      <c r="M91"/>
    </row>
    <row r="92" spans="1:13">
      <c r="A92" s="3">
        <f t="shared" si="2"/>
        <v>91</v>
      </c>
      <c r="B92" s="3" t="s">
        <v>125</v>
      </c>
      <c r="C92">
        <v>231</v>
      </c>
      <c r="D92">
        <v>15.37</v>
      </c>
      <c r="F92" s="11">
        <v>90</v>
      </c>
      <c r="G92" s="12">
        <v>3.78</v>
      </c>
      <c r="H92" s="13">
        <v>14.202</v>
      </c>
      <c r="I92" s="13">
        <v>1.76</v>
      </c>
      <c r="L92" s="11"/>
      <c r="M92"/>
    </row>
    <row r="93" spans="1:13">
      <c r="A93" s="3">
        <f t="shared" si="2"/>
        <v>92</v>
      </c>
      <c r="B93" s="3" t="s">
        <v>126</v>
      </c>
      <c r="C93">
        <v>238.03</v>
      </c>
      <c r="D93">
        <v>19.042999999999999</v>
      </c>
      <c r="F93" s="11">
        <v>91</v>
      </c>
      <c r="G93" s="12">
        <v>3.8</v>
      </c>
      <c r="H93" s="13">
        <v>14.141</v>
      </c>
      <c r="I93" s="13">
        <v>1.762</v>
      </c>
      <c r="L93" s="11"/>
      <c r="M93"/>
    </row>
    <row r="94" spans="1:13">
      <c r="A94" s="3">
        <f t="shared" si="2"/>
        <v>93</v>
      </c>
      <c r="B94" s="3" t="s">
        <v>315</v>
      </c>
      <c r="C94">
        <v>239</v>
      </c>
      <c r="D94">
        <v>19.042999999999999</v>
      </c>
      <c r="F94" s="11">
        <v>92</v>
      </c>
      <c r="G94" s="12">
        <v>3.82</v>
      </c>
      <c r="H94" s="13">
        <v>14.08</v>
      </c>
      <c r="I94" s="13">
        <v>1.764</v>
      </c>
      <c r="L94" s="11"/>
      <c r="M94"/>
    </row>
    <row r="95" spans="1:13">
      <c r="A95" s="3">
        <f t="shared" si="2"/>
        <v>94</v>
      </c>
      <c r="B95" s="3" t="s">
        <v>316</v>
      </c>
      <c r="C95">
        <v>239</v>
      </c>
      <c r="D95">
        <v>19.042999999999999</v>
      </c>
      <c r="F95" s="11">
        <v>93</v>
      </c>
      <c r="G95" s="12">
        <v>3.84</v>
      </c>
      <c r="H95" s="13">
        <v>14.019</v>
      </c>
      <c r="I95" s="13">
        <v>1.7649999999999999</v>
      </c>
      <c r="L95" s="11"/>
      <c r="M95"/>
    </row>
    <row r="96" spans="1:13">
      <c r="A96" s="3">
        <f t="shared" si="2"/>
        <v>95</v>
      </c>
      <c r="B96" s="3" t="s">
        <v>317</v>
      </c>
      <c r="C96">
        <v>243</v>
      </c>
      <c r="D96">
        <v>19.042999999999999</v>
      </c>
      <c r="F96" s="11">
        <v>94</v>
      </c>
      <c r="G96" s="12">
        <v>3.86</v>
      </c>
      <c r="H96" s="13">
        <v>13.959</v>
      </c>
      <c r="I96" s="13">
        <v>1.7669999999999999</v>
      </c>
      <c r="L96" s="11"/>
      <c r="M96"/>
    </row>
    <row r="97" spans="1:13">
      <c r="A97" s="3">
        <f t="shared" si="2"/>
        <v>96</v>
      </c>
      <c r="B97" s="3" t="s">
        <v>318</v>
      </c>
      <c r="C97">
        <v>245</v>
      </c>
      <c r="D97">
        <v>19.042999999999999</v>
      </c>
      <c r="F97" s="11">
        <v>95</v>
      </c>
      <c r="G97" s="12">
        <v>3.88</v>
      </c>
      <c r="H97" s="13">
        <v>13.898999999999999</v>
      </c>
      <c r="I97" s="13">
        <v>1.768</v>
      </c>
      <c r="L97" s="11"/>
      <c r="M97"/>
    </row>
    <row r="98" spans="1:13">
      <c r="A98" s="3">
        <f t="shared" si="2"/>
        <v>97</v>
      </c>
      <c r="B98" s="3" t="s">
        <v>319</v>
      </c>
      <c r="C98">
        <v>248</v>
      </c>
      <c r="D98">
        <v>19.042999999999999</v>
      </c>
      <c r="F98" s="11">
        <v>96</v>
      </c>
      <c r="G98" s="12">
        <v>3.9</v>
      </c>
      <c r="H98" s="13">
        <v>13.84</v>
      </c>
      <c r="I98" s="13">
        <v>1.77</v>
      </c>
      <c r="L98" s="11"/>
      <c r="M98"/>
    </row>
    <row r="99" spans="1:13">
      <c r="A99" s="3">
        <f t="shared" ref="A99:A162" si="3">1+A98</f>
        <v>98</v>
      </c>
      <c r="B99" s="3" t="s">
        <v>320</v>
      </c>
      <c r="C99">
        <v>249</v>
      </c>
      <c r="D99">
        <v>19.042999999999999</v>
      </c>
      <c r="F99" s="11">
        <v>97</v>
      </c>
      <c r="G99" s="12">
        <v>3.92</v>
      </c>
      <c r="H99" s="13">
        <v>13.781000000000001</v>
      </c>
      <c r="I99" s="13">
        <v>1.7709999999999999</v>
      </c>
      <c r="L99" s="11"/>
      <c r="M99"/>
    </row>
    <row r="100" spans="1:13">
      <c r="A100" s="3">
        <f t="shared" si="3"/>
        <v>99</v>
      </c>
      <c r="B100" s="3" t="s">
        <v>321</v>
      </c>
      <c r="C100">
        <v>254</v>
      </c>
      <c r="D100">
        <v>19.042999999999999</v>
      </c>
      <c r="F100" s="11">
        <v>98</v>
      </c>
      <c r="G100" s="12">
        <v>3.94</v>
      </c>
      <c r="H100" s="13">
        <v>13.723000000000001</v>
      </c>
      <c r="I100" s="13">
        <v>1.7729999999999999</v>
      </c>
      <c r="L100" s="11"/>
      <c r="M100"/>
    </row>
    <row r="101" spans="1:13">
      <c r="A101" s="3">
        <f t="shared" si="3"/>
        <v>100</v>
      </c>
      <c r="B101" s="3" t="s">
        <v>322</v>
      </c>
      <c r="C101">
        <v>252</v>
      </c>
      <c r="D101">
        <v>19.042999999999999</v>
      </c>
      <c r="F101" s="11">
        <v>99</v>
      </c>
      <c r="G101" s="12">
        <v>3.96</v>
      </c>
      <c r="H101" s="13">
        <v>13.664999999999999</v>
      </c>
      <c r="I101" s="13">
        <v>1.774</v>
      </c>
      <c r="L101" s="11"/>
      <c r="M101"/>
    </row>
    <row r="102" spans="1:13">
      <c r="A102" s="3">
        <f t="shared" si="3"/>
        <v>101</v>
      </c>
      <c r="B102" s="3" t="s">
        <v>323</v>
      </c>
      <c r="C102">
        <v>255</v>
      </c>
      <c r="D102">
        <v>19.042999999999999</v>
      </c>
      <c r="F102" s="11">
        <v>100</v>
      </c>
      <c r="G102" s="12">
        <v>3.98</v>
      </c>
      <c r="H102" s="13">
        <v>13.606999999999999</v>
      </c>
      <c r="I102" s="13">
        <v>1.776</v>
      </c>
      <c r="L102" s="11"/>
      <c r="M102"/>
    </row>
    <row r="103" spans="1:13">
      <c r="A103" s="3">
        <f t="shared" si="3"/>
        <v>102</v>
      </c>
      <c r="B103" s="3" t="s">
        <v>324</v>
      </c>
      <c r="C103">
        <v>254</v>
      </c>
      <c r="D103">
        <v>19.042999999999999</v>
      </c>
      <c r="F103" s="11">
        <v>101</v>
      </c>
      <c r="G103" s="12">
        <v>4</v>
      </c>
      <c r="H103" s="13">
        <v>13.551</v>
      </c>
      <c r="I103" s="13">
        <v>1.7769999999999999</v>
      </c>
      <c r="L103" s="11"/>
      <c r="M103"/>
    </row>
    <row r="104" spans="1:13">
      <c r="A104" s="3">
        <f t="shared" si="3"/>
        <v>103</v>
      </c>
      <c r="B104" s="3" t="s">
        <v>325</v>
      </c>
      <c r="C104">
        <v>257</v>
      </c>
      <c r="D104">
        <v>19.042999999999999</v>
      </c>
      <c r="F104" s="11">
        <v>102</v>
      </c>
      <c r="G104" s="12">
        <v>4.0199999999999996</v>
      </c>
      <c r="H104" s="13">
        <v>13.494</v>
      </c>
      <c r="I104" s="13">
        <v>1.7789999999999999</v>
      </c>
      <c r="L104" s="11"/>
      <c r="M104"/>
    </row>
    <row r="105" spans="1:13">
      <c r="A105" s="3">
        <f t="shared" si="3"/>
        <v>104</v>
      </c>
      <c r="B105" s="3" t="s">
        <v>326</v>
      </c>
      <c r="C105">
        <v>260</v>
      </c>
      <c r="D105">
        <v>19.042999999999999</v>
      </c>
      <c r="F105" s="11">
        <v>103</v>
      </c>
      <c r="G105" s="12">
        <v>4.04</v>
      </c>
      <c r="H105" s="13">
        <v>13.438000000000001</v>
      </c>
      <c r="I105" s="13">
        <v>1.78</v>
      </c>
      <c r="L105" s="11"/>
      <c r="M105"/>
    </row>
    <row r="106" spans="1:13">
      <c r="A106" s="3">
        <f t="shared" si="3"/>
        <v>105</v>
      </c>
      <c r="B106" s="3" t="s">
        <v>327</v>
      </c>
      <c r="C106">
        <v>262</v>
      </c>
      <c r="D106">
        <v>19.042999999999999</v>
      </c>
      <c r="F106" s="11">
        <v>104</v>
      </c>
      <c r="G106" s="12">
        <v>4.0599999999999996</v>
      </c>
      <c r="H106" s="13">
        <v>13.382</v>
      </c>
      <c r="I106" s="13">
        <v>1.782</v>
      </c>
      <c r="L106" s="11"/>
      <c r="M106"/>
    </row>
    <row r="107" spans="1:13">
      <c r="A107" s="3">
        <f t="shared" si="3"/>
        <v>106</v>
      </c>
      <c r="B107" s="3" t="s">
        <v>328</v>
      </c>
      <c r="C107">
        <v>265</v>
      </c>
      <c r="D107">
        <v>19.042999999999999</v>
      </c>
      <c r="F107" s="11">
        <v>105</v>
      </c>
      <c r="G107" s="12">
        <v>4.08</v>
      </c>
      <c r="H107" s="13">
        <v>13.327</v>
      </c>
      <c r="I107" s="13">
        <v>1.7829999999999999</v>
      </c>
      <c r="L107" s="11"/>
      <c r="M107"/>
    </row>
    <row r="108" spans="1:13">
      <c r="A108" s="3">
        <f t="shared" si="3"/>
        <v>107</v>
      </c>
      <c r="B108" s="3" t="s">
        <v>329</v>
      </c>
      <c r="C108">
        <v>267</v>
      </c>
      <c r="D108">
        <v>19.042999999999999</v>
      </c>
      <c r="F108" s="11">
        <v>106</v>
      </c>
      <c r="G108" s="12">
        <v>4.0999999999999996</v>
      </c>
      <c r="H108" s="13">
        <v>13.272</v>
      </c>
      <c r="I108" s="13">
        <v>1.784</v>
      </c>
      <c r="L108" s="11"/>
      <c r="M108"/>
    </row>
    <row r="109" spans="1:13">
      <c r="A109" s="3">
        <f t="shared" si="3"/>
        <v>108</v>
      </c>
      <c r="B109" s="3" t="s">
        <v>330</v>
      </c>
      <c r="C109">
        <v>270</v>
      </c>
      <c r="D109">
        <v>19.042999999999999</v>
      </c>
      <c r="F109" s="11">
        <v>107</v>
      </c>
      <c r="G109" s="12">
        <v>4.12</v>
      </c>
      <c r="H109" s="13">
        <v>13.218</v>
      </c>
      <c r="I109" s="13">
        <v>1.786</v>
      </c>
      <c r="L109" s="11"/>
      <c r="M109"/>
    </row>
    <row r="110" spans="1:13">
      <c r="A110" s="3">
        <f t="shared" si="3"/>
        <v>109</v>
      </c>
      <c r="B110" s="3" t="s">
        <v>331</v>
      </c>
      <c r="C110">
        <v>272</v>
      </c>
      <c r="D110">
        <v>19.042999999999999</v>
      </c>
      <c r="F110" s="11">
        <v>108</v>
      </c>
      <c r="G110" s="12">
        <v>4.1399999999999997</v>
      </c>
      <c r="H110" s="13">
        <v>13.164</v>
      </c>
      <c r="I110" s="13">
        <v>1.7869999999999999</v>
      </c>
      <c r="L110" s="11"/>
      <c r="M110"/>
    </row>
    <row r="111" spans="1:13">
      <c r="A111" s="3">
        <f t="shared" si="3"/>
        <v>110</v>
      </c>
      <c r="B111" s="293" t="s">
        <v>600</v>
      </c>
      <c r="C111">
        <v>275</v>
      </c>
      <c r="D111">
        <v>19.042999999999999</v>
      </c>
      <c r="F111" s="11">
        <v>109</v>
      </c>
      <c r="G111" s="12">
        <v>4.16</v>
      </c>
      <c r="H111" s="13">
        <v>13.11</v>
      </c>
      <c r="I111" s="13">
        <v>1.788</v>
      </c>
      <c r="L111" s="11"/>
      <c r="M111"/>
    </row>
    <row r="112" spans="1:13">
      <c r="A112" s="3">
        <f t="shared" si="3"/>
        <v>111</v>
      </c>
      <c r="B112" s="293" t="s">
        <v>601</v>
      </c>
      <c r="C112">
        <v>277</v>
      </c>
      <c r="D112">
        <v>19.042999999999999</v>
      </c>
      <c r="F112" s="11">
        <v>110</v>
      </c>
      <c r="G112" s="12">
        <v>4.18</v>
      </c>
      <c r="H112" s="13">
        <v>13.057</v>
      </c>
      <c r="I112" s="13">
        <v>1.79</v>
      </c>
      <c r="L112" s="11"/>
      <c r="M112"/>
    </row>
    <row r="113" spans="1:13">
      <c r="A113" s="3">
        <f t="shared" si="3"/>
        <v>112</v>
      </c>
      <c r="B113" s="293" t="s">
        <v>602</v>
      </c>
      <c r="C113">
        <v>280</v>
      </c>
      <c r="D113">
        <v>19.042999999999999</v>
      </c>
      <c r="F113" s="11">
        <v>111</v>
      </c>
      <c r="G113" s="12">
        <v>4.2</v>
      </c>
      <c r="H113" s="13">
        <v>13.004</v>
      </c>
      <c r="I113" s="13">
        <v>1.7909999999999999</v>
      </c>
      <c r="L113" s="11"/>
      <c r="M113"/>
    </row>
    <row r="114" spans="1:13">
      <c r="A114" s="3">
        <f t="shared" si="3"/>
        <v>113</v>
      </c>
      <c r="B114" s="293" t="s">
        <v>603</v>
      </c>
      <c r="C114">
        <v>282</v>
      </c>
      <c r="D114">
        <v>19.042999999999999</v>
      </c>
      <c r="F114" s="11">
        <v>112</v>
      </c>
      <c r="G114" s="12">
        <v>4.22</v>
      </c>
      <c r="H114" s="13">
        <v>12.951000000000001</v>
      </c>
      <c r="I114" s="13">
        <v>1.792</v>
      </c>
      <c r="L114" s="11"/>
      <c r="M114"/>
    </row>
    <row r="115" spans="1:13">
      <c r="A115" s="3">
        <f t="shared" si="3"/>
        <v>114</v>
      </c>
      <c r="B115" s="293" t="s">
        <v>604</v>
      </c>
      <c r="C115">
        <v>285</v>
      </c>
      <c r="D115">
        <v>19.042999999999999</v>
      </c>
      <c r="F115" s="11">
        <v>113</v>
      </c>
      <c r="G115" s="12">
        <v>4.24</v>
      </c>
      <c r="H115" s="13">
        <v>12.898999999999999</v>
      </c>
      <c r="I115" s="13">
        <v>1.7929999999999999</v>
      </c>
      <c r="L115" s="11"/>
      <c r="M115"/>
    </row>
    <row r="116" spans="1:13">
      <c r="A116" s="3">
        <f t="shared" si="3"/>
        <v>115</v>
      </c>
      <c r="B116" s="293" t="s">
        <v>605</v>
      </c>
      <c r="C116">
        <v>287</v>
      </c>
      <c r="D116">
        <v>19.042999999999999</v>
      </c>
      <c r="F116" s="11">
        <v>114</v>
      </c>
      <c r="G116" s="12">
        <v>4.26</v>
      </c>
      <c r="H116" s="13">
        <v>12.847</v>
      </c>
      <c r="I116" s="13">
        <v>1.7949999999999999</v>
      </c>
      <c r="L116" s="11"/>
      <c r="M116"/>
    </row>
    <row r="117" spans="1:13">
      <c r="A117" s="3">
        <f t="shared" si="3"/>
        <v>116</v>
      </c>
      <c r="B117" s="293" t="s">
        <v>606</v>
      </c>
      <c r="C117">
        <v>290</v>
      </c>
      <c r="D117">
        <v>19.042999999999999</v>
      </c>
      <c r="F117" s="11">
        <v>115</v>
      </c>
      <c r="G117" s="12">
        <v>4.28</v>
      </c>
      <c r="H117" s="13">
        <v>12.795999999999999</v>
      </c>
      <c r="I117" s="13">
        <v>1.7959999999999998</v>
      </c>
      <c r="L117" s="11"/>
      <c r="M117"/>
    </row>
    <row r="118" spans="1:13">
      <c r="A118" s="3">
        <f t="shared" si="3"/>
        <v>117</v>
      </c>
      <c r="B118" s="293" t="s">
        <v>607</v>
      </c>
      <c r="C118">
        <v>292</v>
      </c>
      <c r="D118">
        <v>19.042999999999999</v>
      </c>
      <c r="F118" s="11">
        <v>116</v>
      </c>
      <c r="G118" s="12">
        <v>4.3</v>
      </c>
      <c r="H118" s="13">
        <v>12.744999999999999</v>
      </c>
      <c r="I118" s="13">
        <v>1.7969999999999997</v>
      </c>
      <c r="L118" s="11"/>
      <c r="M118"/>
    </row>
    <row r="119" spans="1:13">
      <c r="A119" s="3">
        <f t="shared" si="3"/>
        <v>118</v>
      </c>
      <c r="B119" s="293" t="s">
        <v>608</v>
      </c>
      <c r="C119">
        <v>295</v>
      </c>
      <c r="D119">
        <v>19.042999999999999</v>
      </c>
      <c r="F119" s="11">
        <v>117</v>
      </c>
      <c r="G119" s="12">
        <v>4.319999999999995</v>
      </c>
      <c r="H119" s="13">
        <v>12.695</v>
      </c>
      <c r="I119" s="13">
        <v>1.7979999999999996</v>
      </c>
      <c r="L119" s="11"/>
      <c r="M119"/>
    </row>
    <row r="120" spans="1:13">
      <c r="A120" s="3">
        <f t="shared" si="3"/>
        <v>119</v>
      </c>
      <c r="B120" s="3" t="s">
        <v>332</v>
      </c>
      <c r="C120">
        <v>297</v>
      </c>
      <c r="D120">
        <v>19.042999999999999</v>
      </c>
      <c r="F120" s="11">
        <v>118</v>
      </c>
      <c r="G120" s="12">
        <v>4.3399999999999945</v>
      </c>
      <c r="H120" s="13">
        <v>12.644</v>
      </c>
      <c r="I120" s="13">
        <v>1.7989999999999995</v>
      </c>
      <c r="L120" s="11"/>
      <c r="M120"/>
    </row>
    <row r="121" spans="1:13">
      <c r="A121" s="3">
        <f t="shared" si="3"/>
        <v>120</v>
      </c>
      <c r="B121" s="3" t="s">
        <v>333</v>
      </c>
      <c r="C121">
        <v>300</v>
      </c>
      <c r="D121">
        <v>19.042999999999999</v>
      </c>
      <c r="F121" s="11">
        <v>119</v>
      </c>
      <c r="G121" s="12">
        <v>4.3599999999999941</v>
      </c>
      <c r="H121" s="13">
        <v>12.593999999999999</v>
      </c>
      <c r="I121" s="13">
        <v>1.8009999999999999</v>
      </c>
      <c r="L121" s="11"/>
      <c r="M121"/>
    </row>
    <row r="122" spans="1:13">
      <c r="A122" s="3">
        <f t="shared" si="3"/>
        <v>121</v>
      </c>
      <c r="B122" s="3" t="s">
        <v>334</v>
      </c>
      <c r="C122">
        <v>302</v>
      </c>
      <c r="D122">
        <v>19.042999999999999</v>
      </c>
      <c r="F122" s="11">
        <v>120</v>
      </c>
      <c r="G122" s="12">
        <v>4.3799999999999937</v>
      </c>
      <c r="H122" s="13">
        <v>12.545</v>
      </c>
      <c r="I122" s="13">
        <v>1.8019999999999998</v>
      </c>
      <c r="L122" s="11"/>
      <c r="M122"/>
    </row>
    <row r="123" spans="1:13">
      <c r="A123" s="3">
        <f t="shared" si="3"/>
        <v>122</v>
      </c>
      <c r="B123" s="3" t="s">
        <v>335</v>
      </c>
      <c r="C123">
        <v>305</v>
      </c>
      <c r="D123">
        <v>19.042999999999999</v>
      </c>
      <c r="F123" s="11">
        <v>121</v>
      </c>
      <c r="G123" s="12">
        <v>4.3999999999999932</v>
      </c>
      <c r="H123" s="13">
        <v>12.496</v>
      </c>
      <c r="I123" s="13">
        <v>1.8029999999999997</v>
      </c>
      <c r="L123" s="11"/>
      <c r="M123"/>
    </row>
    <row r="124" spans="1:13">
      <c r="A124" s="3">
        <f t="shared" si="3"/>
        <v>123</v>
      </c>
      <c r="B124" s="3" t="s">
        <v>336</v>
      </c>
      <c r="C124">
        <v>307</v>
      </c>
      <c r="D124">
        <v>19.042999999999999</v>
      </c>
      <c r="F124" s="11">
        <v>122</v>
      </c>
      <c r="G124" s="12">
        <v>4.4199999999999928</v>
      </c>
      <c r="H124" s="13">
        <v>12.446999999999999</v>
      </c>
      <c r="I124" s="13">
        <v>1.8039999999999996</v>
      </c>
      <c r="L124" s="11"/>
      <c r="M124"/>
    </row>
    <row r="125" spans="1:13">
      <c r="A125" s="3">
        <f t="shared" si="3"/>
        <v>124</v>
      </c>
      <c r="B125" s="3" t="s">
        <v>337</v>
      </c>
      <c r="C125">
        <v>310</v>
      </c>
      <c r="D125">
        <v>19.042999999999999</v>
      </c>
      <c r="F125" s="11">
        <v>123</v>
      </c>
      <c r="G125" s="12">
        <v>4.4399999999999924</v>
      </c>
      <c r="H125" s="13">
        <v>12.398</v>
      </c>
      <c r="I125" s="13">
        <v>1.8049999999999999</v>
      </c>
      <c r="L125" s="11"/>
      <c r="M125"/>
    </row>
    <row r="126" spans="1:13">
      <c r="A126" s="3">
        <f t="shared" si="3"/>
        <v>125</v>
      </c>
      <c r="B126" s="3" t="s">
        <v>338</v>
      </c>
      <c r="C126">
        <v>312</v>
      </c>
      <c r="D126">
        <v>19.042999999999999</v>
      </c>
      <c r="F126" s="11">
        <v>124</v>
      </c>
      <c r="G126" s="12">
        <v>4.459999999999992</v>
      </c>
      <c r="H126" s="13">
        <v>12.35</v>
      </c>
      <c r="I126" s="13">
        <v>1.8059999999999994</v>
      </c>
      <c r="L126" s="11"/>
      <c r="M126"/>
    </row>
    <row r="127" spans="1:13">
      <c r="A127" s="3">
        <f t="shared" si="3"/>
        <v>126</v>
      </c>
      <c r="B127" s="3" t="s">
        <v>339</v>
      </c>
      <c r="C127">
        <v>315</v>
      </c>
      <c r="D127">
        <v>19.042999999999999</v>
      </c>
      <c r="F127" s="11">
        <v>125</v>
      </c>
      <c r="G127" s="12">
        <v>4.4799999999999915</v>
      </c>
      <c r="H127" s="13">
        <v>12.302</v>
      </c>
      <c r="I127" s="13">
        <v>1.8069999999999993</v>
      </c>
      <c r="L127" s="11"/>
      <c r="M127"/>
    </row>
    <row r="128" spans="1:13">
      <c r="A128" s="3">
        <f t="shared" si="3"/>
        <v>127</v>
      </c>
      <c r="B128" s="3" t="s">
        <v>340</v>
      </c>
      <c r="C128">
        <v>317</v>
      </c>
      <c r="D128">
        <v>19.042999999999999</v>
      </c>
      <c r="F128" s="11">
        <v>126</v>
      </c>
      <c r="G128" s="12">
        <v>4.4999999999999911</v>
      </c>
      <c r="H128" s="13">
        <v>12.255000000000001</v>
      </c>
      <c r="I128" s="13">
        <v>1.8079999999999992</v>
      </c>
      <c r="L128" s="11"/>
      <c r="M128"/>
    </row>
    <row r="129" spans="1:13">
      <c r="A129" s="3">
        <f t="shared" si="3"/>
        <v>128</v>
      </c>
      <c r="B129" s="3" t="s">
        <v>341</v>
      </c>
      <c r="C129">
        <v>320</v>
      </c>
      <c r="D129">
        <v>19.042999999999999</v>
      </c>
      <c r="F129" s="11">
        <v>127</v>
      </c>
      <c r="G129" s="12">
        <v>4.5199999999999907</v>
      </c>
      <c r="H129" s="13">
        <v>12.208</v>
      </c>
      <c r="I129" s="13">
        <v>1.8089999999999991</v>
      </c>
      <c r="L129" s="11"/>
      <c r="M129"/>
    </row>
    <row r="130" spans="1:13">
      <c r="A130" s="3">
        <f t="shared" si="3"/>
        <v>129</v>
      </c>
      <c r="B130" s="3" t="s">
        <v>342</v>
      </c>
      <c r="C130">
        <v>322</v>
      </c>
      <c r="D130">
        <v>19.042999999999999</v>
      </c>
      <c r="F130" s="11">
        <v>128</v>
      </c>
      <c r="G130" s="12">
        <v>4.5399999999999903</v>
      </c>
      <c r="H130" s="13">
        <v>12.161</v>
      </c>
      <c r="I130" s="13">
        <v>1.81</v>
      </c>
      <c r="L130" s="11"/>
      <c r="M130"/>
    </row>
    <row r="131" spans="1:13">
      <c r="A131" s="3">
        <f t="shared" si="3"/>
        <v>130</v>
      </c>
      <c r="B131" s="3" t="s">
        <v>343</v>
      </c>
      <c r="C131">
        <v>325</v>
      </c>
      <c r="D131">
        <v>19.042999999999999</v>
      </c>
      <c r="F131" s="11">
        <v>129</v>
      </c>
      <c r="G131" s="12">
        <v>4.5599999999999898</v>
      </c>
      <c r="H131" s="13">
        <v>12.115</v>
      </c>
      <c r="I131" s="13">
        <v>1.8109999999999988</v>
      </c>
      <c r="L131" s="11"/>
      <c r="M131"/>
    </row>
    <row r="132" spans="1:13">
      <c r="A132" s="3">
        <f t="shared" si="3"/>
        <v>131</v>
      </c>
      <c r="B132" s="3" t="s">
        <v>344</v>
      </c>
      <c r="C132">
        <v>332</v>
      </c>
      <c r="D132">
        <v>19.042999999999999</v>
      </c>
      <c r="F132" s="11">
        <v>130</v>
      </c>
      <c r="G132" s="12">
        <v>4.5799999999999894</v>
      </c>
      <c r="H132" s="13">
        <v>12.068</v>
      </c>
      <c r="I132" s="13">
        <v>1.8119999999999987</v>
      </c>
      <c r="L132" s="11"/>
      <c r="M132"/>
    </row>
    <row r="133" spans="1:13">
      <c r="A133" s="3">
        <f t="shared" si="3"/>
        <v>132</v>
      </c>
      <c r="B133" s="3" t="s">
        <v>345</v>
      </c>
      <c r="C133">
        <v>335</v>
      </c>
      <c r="D133">
        <v>19.042999999999999</v>
      </c>
      <c r="F133" s="11">
        <v>131</v>
      </c>
      <c r="G133" s="12">
        <v>4.599999999999989</v>
      </c>
      <c r="H133" s="13">
        <v>12.023</v>
      </c>
      <c r="I133" s="13">
        <v>1.8129999999999986</v>
      </c>
      <c r="L133" s="11"/>
      <c r="M133"/>
    </row>
    <row r="134" spans="1:13">
      <c r="A134" s="3">
        <f t="shared" si="3"/>
        <v>133</v>
      </c>
      <c r="B134" s="3" t="s">
        <v>346</v>
      </c>
      <c r="C134">
        <v>337</v>
      </c>
      <c r="D134">
        <v>19.042999999999999</v>
      </c>
      <c r="F134" s="11">
        <v>132</v>
      </c>
      <c r="G134" s="12">
        <v>4.6199999999999886</v>
      </c>
      <c r="H134" s="13">
        <v>11.977</v>
      </c>
      <c r="I134" s="13">
        <v>1.8139999999999985</v>
      </c>
      <c r="L134" s="11"/>
      <c r="M134"/>
    </row>
    <row r="135" spans="1:13">
      <c r="A135" s="3">
        <f t="shared" si="3"/>
        <v>134</v>
      </c>
      <c r="B135" s="3" t="s">
        <v>347</v>
      </c>
      <c r="C135">
        <v>340</v>
      </c>
      <c r="D135">
        <v>19.042999999999999</v>
      </c>
      <c r="F135" s="11">
        <v>133</v>
      </c>
      <c r="G135" s="12">
        <v>4.6399999999999881</v>
      </c>
      <c r="H135" s="13">
        <v>11.932</v>
      </c>
      <c r="I135" s="13">
        <v>1.8149999999999999</v>
      </c>
      <c r="L135" s="11"/>
      <c r="M135"/>
    </row>
    <row r="136" spans="1:13">
      <c r="A136" s="3">
        <f t="shared" si="3"/>
        <v>135</v>
      </c>
      <c r="B136" s="3" t="s">
        <v>348</v>
      </c>
      <c r="C136">
        <v>342</v>
      </c>
      <c r="D136">
        <v>19.042999999999999</v>
      </c>
      <c r="F136" s="11">
        <v>134</v>
      </c>
      <c r="G136" s="12">
        <v>4.6599999999999877</v>
      </c>
      <c r="H136" s="13">
        <v>11.887</v>
      </c>
      <c r="I136" s="13">
        <v>1.8159999999999983</v>
      </c>
      <c r="L136" s="11"/>
      <c r="M136"/>
    </row>
    <row r="137" spans="1:13">
      <c r="A137" s="3">
        <f t="shared" si="3"/>
        <v>136</v>
      </c>
      <c r="B137" s="3" t="s">
        <v>349</v>
      </c>
      <c r="C137">
        <v>345</v>
      </c>
      <c r="D137">
        <v>19.042999999999999</v>
      </c>
      <c r="F137" s="11">
        <v>135</v>
      </c>
      <c r="G137" s="12">
        <v>4.6799999999999873</v>
      </c>
      <c r="H137" s="13">
        <v>11.842000000000001</v>
      </c>
      <c r="I137" s="13">
        <v>1.8169999999999982</v>
      </c>
      <c r="L137" s="11"/>
      <c r="M137"/>
    </row>
    <row r="138" spans="1:13">
      <c r="A138" s="3">
        <f t="shared" si="3"/>
        <v>137</v>
      </c>
      <c r="B138" s="3" t="s">
        <v>350</v>
      </c>
      <c r="C138">
        <v>347</v>
      </c>
      <c r="D138">
        <v>19.042999999999999</v>
      </c>
      <c r="F138" s="11">
        <v>136</v>
      </c>
      <c r="G138" s="12">
        <v>4.6999999999999869</v>
      </c>
      <c r="H138" s="13">
        <v>11.798</v>
      </c>
      <c r="I138" s="13">
        <v>1.8179999999999981</v>
      </c>
      <c r="L138" s="11"/>
      <c r="M138"/>
    </row>
    <row r="139" spans="1:13">
      <c r="A139" s="3">
        <f t="shared" si="3"/>
        <v>138</v>
      </c>
      <c r="B139" s="3" t="s">
        <v>351</v>
      </c>
      <c r="C139">
        <v>350</v>
      </c>
      <c r="D139">
        <v>19.042999999999999</v>
      </c>
      <c r="F139" s="11">
        <v>137</v>
      </c>
      <c r="G139" s="12">
        <v>4.7199999999999864</v>
      </c>
      <c r="H139" s="13">
        <v>11.754</v>
      </c>
      <c r="I139" s="13">
        <v>1.818999999999998</v>
      </c>
      <c r="L139" s="11"/>
      <c r="M139"/>
    </row>
    <row r="140" spans="1:13">
      <c r="A140" s="3">
        <f t="shared" si="3"/>
        <v>139</v>
      </c>
      <c r="B140" s="3" t="s">
        <v>352</v>
      </c>
      <c r="C140">
        <v>352</v>
      </c>
      <c r="D140">
        <v>19.042999999999999</v>
      </c>
      <c r="F140" s="11">
        <v>138</v>
      </c>
      <c r="G140" s="12">
        <v>4.739999999999986</v>
      </c>
      <c r="H140" s="13">
        <v>11.711</v>
      </c>
      <c r="I140" s="13">
        <v>1.82</v>
      </c>
      <c r="L140" s="11"/>
      <c r="M140"/>
    </row>
    <row r="141" spans="1:13">
      <c r="A141" s="3">
        <f t="shared" si="3"/>
        <v>140</v>
      </c>
      <c r="B141" s="3" t="s">
        <v>353</v>
      </c>
      <c r="C141">
        <v>355</v>
      </c>
      <c r="D141">
        <v>19.042999999999999</v>
      </c>
      <c r="F141" s="11">
        <v>139</v>
      </c>
      <c r="G141" s="12">
        <v>4.7599999999999856</v>
      </c>
      <c r="H141" s="13">
        <v>11.667</v>
      </c>
      <c r="I141" s="13">
        <v>1.8209999999999977</v>
      </c>
      <c r="L141" s="11"/>
      <c r="M141"/>
    </row>
    <row r="142" spans="1:13">
      <c r="A142" s="3">
        <f t="shared" si="3"/>
        <v>141</v>
      </c>
      <c r="B142" s="3" t="s">
        <v>354</v>
      </c>
      <c r="C142">
        <v>358</v>
      </c>
      <c r="D142">
        <v>19.042999999999999</v>
      </c>
      <c r="F142" s="11">
        <v>140</v>
      </c>
      <c r="G142" s="12">
        <v>4.7799999999999851</v>
      </c>
      <c r="H142" s="13">
        <v>11.624000000000001</v>
      </c>
      <c r="I142" s="13">
        <v>1.8219999999999976</v>
      </c>
      <c r="L142" s="11"/>
      <c r="M142"/>
    </row>
    <row r="143" spans="1:13">
      <c r="A143" s="3">
        <f t="shared" si="3"/>
        <v>142</v>
      </c>
      <c r="B143" s="3" t="s">
        <v>355</v>
      </c>
      <c r="C143">
        <v>360</v>
      </c>
      <c r="D143">
        <v>19.042999999999999</v>
      </c>
      <c r="F143" s="11">
        <v>141</v>
      </c>
      <c r="G143" s="12">
        <v>4.7999999999999847</v>
      </c>
      <c r="H143" s="13">
        <v>11.581</v>
      </c>
      <c r="I143" s="13">
        <v>1.8229999999999975</v>
      </c>
      <c r="L143" s="11"/>
      <c r="M143"/>
    </row>
    <row r="144" spans="1:13">
      <c r="A144" s="3">
        <f t="shared" si="3"/>
        <v>143</v>
      </c>
      <c r="B144" s="3" t="s">
        <v>356</v>
      </c>
      <c r="C144">
        <v>362</v>
      </c>
      <c r="D144">
        <v>19.042999999999999</v>
      </c>
      <c r="F144" s="11">
        <v>142</v>
      </c>
      <c r="G144" s="12">
        <v>4.8199999999999843</v>
      </c>
      <c r="H144" s="13">
        <v>11.539</v>
      </c>
      <c r="I144" s="13">
        <v>1.8239999999999974</v>
      </c>
      <c r="L144" s="11"/>
      <c r="M144"/>
    </row>
    <row r="145" spans="1:9">
      <c r="A145" s="3">
        <f t="shared" si="3"/>
        <v>144</v>
      </c>
      <c r="B145" s="3" t="s">
        <v>357</v>
      </c>
      <c r="C145">
        <v>365</v>
      </c>
      <c r="D145">
        <v>19.042999999999999</v>
      </c>
      <c r="F145" s="11">
        <v>143</v>
      </c>
      <c r="G145" s="12">
        <v>4.8399999999999839</v>
      </c>
      <c r="H145" s="13">
        <v>11.497</v>
      </c>
      <c r="I145" s="13">
        <v>1.825</v>
      </c>
    </row>
    <row r="146" spans="1:9">
      <c r="A146" s="3">
        <f t="shared" si="3"/>
        <v>145</v>
      </c>
      <c r="B146" s="3" t="s">
        <v>358</v>
      </c>
      <c r="C146">
        <v>368</v>
      </c>
      <c r="D146">
        <v>19.042999999999999</v>
      </c>
      <c r="F146" s="11">
        <v>144</v>
      </c>
      <c r="G146" s="12">
        <v>4.8599999999999834</v>
      </c>
      <c r="H146" s="13">
        <v>11.455</v>
      </c>
      <c r="I146" s="13">
        <v>1.825</v>
      </c>
    </row>
    <row r="147" spans="1:9">
      <c r="A147" s="3">
        <f t="shared" si="3"/>
        <v>146</v>
      </c>
      <c r="B147" s="3" t="s">
        <v>359</v>
      </c>
      <c r="C147">
        <v>370</v>
      </c>
      <c r="D147">
        <v>19.042999999999999</v>
      </c>
      <c r="F147" s="11">
        <v>145</v>
      </c>
      <c r="G147" s="12">
        <v>4.879999999999983</v>
      </c>
      <c r="H147" s="13">
        <v>11.413</v>
      </c>
      <c r="I147" s="13">
        <v>1.8259999999999998</v>
      </c>
    </row>
    <row r="148" spans="1:9">
      <c r="A148" s="3">
        <f t="shared" si="3"/>
        <v>147</v>
      </c>
      <c r="B148" s="3" t="s">
        <v>360</v>
      </c>
      <c r="C148">
        <v>373</v>
      </c>
      <c r="D148">
        <v>19.042999999999999</v>
      </c>
      <c r="F148" s="11">
        <v>146</v>
      </c>
      <c r="G148" s="12">
        <v>4.8999999999999826</v>
      </c>
      <c r="H148" s="13">
        <v>11.372</v>
      </c>
      <c r="I148" s="13">
        <v>1.8269999999999997</v>
      </c>
    </row>
    <row r="149" spans="1:9">
      <c r="A149" s="3">
        <f t="shared" si="3"/>
        <v>148</v>
      </c>
      <c r="B149" s="3" t="s">
        <v>361</v>
      </c>
      <c r="C149">
        <v>376</v>
      </c>
      <c r="D149">
        <v>19.042999999999999</v>
      </c>
      <c r="F149" s="11">
        <v>147</v>
      </c>
      <c r="G149" s="12">
        <v>4.9199999999999822</v>
      </c>
      <c r="H149" s="13">
        <v>11.331</v>
      </c>
      <c r="I149" s="13">
        <v>1.8279999999999996</v>
      </c>
    </row>
    <row r="150" spans="1:9">
      <c r="A150" s="3">
        <f t="shared" si="3"/>
        <v>149</v>
      </c>
      <c r="B150" s="3" t="s">
        <v>362</v>
      </c>
      <c r="C150">
        <v>379</v>
      </c>
      <c r="D150">
        <v>19.042999999999999</v>
      </c>
      <c r="F150" s="11">
        <v>148</v>
      </c>
      <c r="G150" s="12">
        <v>4.9399999999999817</v>
      </c>
      <c r="H150" s="13">
        <v>11.29</v>
      </c>
      <c r="I150" s="13">
        <v>1.8289999999999995</v>
      </c>
    </row>
    <row r="151" spans="1:9">
      <c r="A151" s="3">
        <f t="shared" si="3"/>
        <v>150</v>
      </c>
      <c r="B151" s="3" t="s">
        <v>363</v>
      </c>
      <c r="C151">
        <v>382</v>
      </c>
      <c r="D151">
        <v>19.042999999999999</v>
      </c>
      <c r="F151" s="11">
        <v>149</v>
      </c>
      <c r="G151" s="12">
        <v>4.9599999999999813</v>
      </c>
      <c r="H151" s="13">
        <v>11.25</v>
      </c>
      <c r="I151" s="13">
        <v>1.83</v>
      </c>
    </row>
    <row r="152" spans="1:9">
      <c r="A152" s="3">
        <f t="shared" si="3"/>
        <v>151</v>
      </c>
      <c r="B152" s="3" t="s">
        <v>364</v>
      </c>
      <c r="C152">
        <v>385</v>
      </c>
      <c r="D152">
        <v>19.042999999999999</v>
      </c>
      <c r="F152" s="11">
        <v>150</v>
      </c>
      <c r="G152" s="12">
        <v>4.9799999999999809</v>
      </c>
      <c r="H152" s="13">
        <v>11.21</v>
      </c>
      <c r="I152" s="13">
        <v>1.8309999999999993</v>
      </c>
    </row>
    <row r="153" spans="1:9">
      <c r="A153" s="3">
        <f t="shared" si="3"/>
        <v>152</v>
      </c>
      <c r="B153" s="3" t="s">
        <v>365</v>
      </c>
      <c r="C153">
        <v>388</v>
      </c>
      <c r="D153">
        <v>19.042999999999999</v>
      </c>
      <c r="F153" s="11">
        <v>151</v>
      </c>
      <c r="G153" s="12">
        <v>4.9999999999999805</v>
      </c>
      <c r="H153" s="13">
        <v>11.17</v>
      </c>
      <c r="I153" s="11">
        <v>1.831</v>
      </c>
    </row>
    <row r="154" spans="1:9">
      <c r="A154" s="3">
        <f t="shared" si="3"/>
        <v>153</v>
      </c>
      <c r="B154" s="3" t="s">
        <v>366</v>
      </c>
      <c r="C154">
        <v>391</v>
      </c>
      <c r="D154">
        <v>19.042999999999999</v>
      </c>
    </row>
    <row r="155" spans="1:9">
      <c r="A155" s="3">
        <f t="shared" si="3"/>
        <v>154</v>
      </c>
      <c r="B155" s="3" t="s">
        <v>367</v>
      </c>
      <c r="C155">
        <v>393</v>
      </c>
      <c r="D155">
        <v>19.042999999999999</v>
      </c>
    </row>
    <row r="156" spans="1:9">
      <c r="A156" s="3">
        <f t="shared" si="3"/>
        <v>155</v>
      </c>
      <c r="B156" s="3" t="s">
        <v>368</v>
      </c>
      <c r="C156">
        <v>396</v>
      </c>
      <c r="D156">
        <v>19.042999999999999</v>
      </c>
    </row>
    <row r="157" spans="1:9">
      <c r="A157" s="3">
        <f t="shared" si="3"/>
        <v>156</v>
      </c>
      <c r="B157" s="3" t="s">
        <v>369</v>
      </c>
      <c r="C157">
        <v>399</v>
      </c>
      <c r="D157">
        <v>19.042999999999999</v>
      </c>
    </row>
    <row r="158" spans="1:9">
      <c r="A158" s="3">
        <f t="shared" si="3"/>
        <v>157</v>
      </c>
      <c r="B158" s="3" t="s">
        <v>370</v>
      </c>
      <c r="C158">
        <v>402</v>
      </c>
      <c r="D158">
        <v>19.042999999999999</v>
      </c>
    </row>
    <row r="159" spans="1:9">
      <c r="A159" s="3">
        <f t="shared" si="3"/>
        <v>158</v>
      </c>
      <c r="B159" s="3" t="s">
        <v>371</v>
      </c>
      <c r="C159">
        <v>405</v>
      </c>
      <c r="D159">
        <v>19.042999999999999</v>
      </c>
    </row>
    <row r="160" spans="1:9">
      <c r="A160" s="3">
        <f t="shared" si="3"/>
        <v>159</v>
      </c>
      <c r="B160" s="3" t="s">
        <v>372</v>
      </c>
      <c r="C160">
        <v>408</v>
      </c>
      <c r="D160">
        <v>19.042999999999999</v>
      </c>
    </row>
    <row r="161" spans="1:4">
      <c r="A161" s="3">
        <f t="shared" si="3"/>
        <v>160</v>
      </c>
      <c r="B161" s="3" t="s">
        <v>363</v>
      </c>
      <c r="C161">
        <v>411</v>
      </c>
      <c r="D161">
        <v>19.042999999999999</v>
      </c>
    </row>
    <row r="162" spans="1:4">
      <c r="A162" s="3">
        <f t="shared" si="3"/>
        <v>161</v>
      </c>
      <c r="B162" s="3" t="s">
        <v>373</v>
      </c>
      <c r="C162">
        <v>413</v>
      </c>
      <c r="D162">
        <v>19.042999999999999</v>
      </c>
    </row>
    <row r="163" spans="1:4">
      <c r="A163" s="3">
        <f t="shared" ref="A163:A201" si="4">1+A162</f>
        <v>162</v>
      </c>
      <c r="B163" s="3" t="s">
        <v>374</v>
      </c>
      <c r="C163">
        <v>416</v>
      </c>
      <c r="D163">
        <v>19.042999999999999</v>
      </c>
    </row>
    <row r="164" spans="1:4">
      <c r="A164" s="3">
        <f t="shared" si="4"/>
        <v>163</v>
      </c>
      <c r="B164" s="3" t="s">
        <v>375</v>
      </c>
      <c r="C164">
        <v>419</v>
      </c>
      <c r="D164">
        <v>19.042999999999999</v>
      </c>
    </row>
    <row r="165" spans="1:4">
      <c r="A165" s="3">
        <f t="shared" si="4"/>
        <v>164</v>
      </c>
      <c r="B165" s="3" t="s">
        <v>376</v>
      </c>
      <c r="C165">
        <v>422</v>
      </c>
      <c r="D165">
        <v>19.042999999999999</v>
      </c>
    </row>
    <row r="166" spans="1:4">
      <c r="A166" s="3">
        <f t="shared" si="4"/>
        <v>165</v>
      </c>
      <c r="B166" s="3" t="s">
        <v>377</v>
      </c>
      <c r="C166">
        <v>425</v>
      </c>
      <c r="D166">
        <v>19.042999999999999</v>
      </c>
    </row>
    <row r="167" spans="1:4">
      <c r="A167" s="3">
        <f t="shared" si="4"/>
        <v>166</v>
      </c>
      <c r="B167" s="3" t="s">
        <v>378</v>
      </c>
      <c r="C167">
        <v>428</v>
      </c>
      <c r="D167">
        <v>19.042999999999999</v>
      </c>
    </row>
    <row r="168" spans="1:4">
      <c r="A168" s="3">
        <f t="shared" si="4"/>
        <v>167</v>
      </c>
      <c r="B168" s="3" t="s">
        <v>379</v>
      </c>
      <c r="C168">
        <v>431</v>
      </c>
      <c r="D168">
        <v>19.042999999999999</v>
      </c>
    </row>
    <row r="169" spans="1:4">
      <c r="A169" s="3">
        <f t="shared" si="4"/>
        <v>168</v>
      </c>
      <c r="B169" s="3" t="s">
        <v>380</v>
      </c>
      <c r="C169">
        <v>434</v>
      </c>
      <c r="D169">
        <v>19.042999999999999</v>
      </c>
    </row>
    <row r="170" spans="1:4">
      <c r="A170" s="3">
        <f t="shared" si="4"/>
        <v>169</v>
      </c>
      <c r="B170" s="3" t="s">
        <v>381</v>
      </c>
      <c r="C170">
        <v>437</v>
      </c>
      <c r="D170">
        <v>19.042999999999999</v>
      </c>
    </row>
    <row r="171" spans="1:4">
      <c r="A171" s="3">
        <f t="shared" si="4"/>
        <v>170</v>
      </c>
      <c r="B171" s="3" t="s">
        <v>382</v>
      </c>
      <c r="C171">
        <v>440</v>
      </c>
      <c r="D171">
        <v>19.042999999999999</v>
      </c>
    </row>
    <row r="172" spans="1:4">
      <c r="A172" s="3">
        <f t="shared" si="4"/>
        <v>171</v>
      </c>
      <c r="B172" s="3" t="s">
        <v>383</v>
      </c>
      <c r="C172">
        <v>443</v>
      </c>
      <c r="D172">
        <v>19.042999999999999</v>
      </c>
    </row>
    <row r="173" spans="1:4">
      <c r="A173" s="3">
        <f t="shared" si="4"/>
        <v>172</v>
      </c>
      <c r="B173" s="3" t="s">
        <v>384</v>
      </c>
      <c r="C173">
        <v>446</v>
      </c>
      <c r="D173">
        <v>19.042999999999999</v>
      </c>
    </row>
    <row r="174" spans="1:4">
      <c r="A174" s="3">
        <f t="shared" si="4"/>
        <v>173</v>
      </c>
      <c r="B174" s="3" t="s">
        <v>385</v>
      </c>
      <c r="C174">
        <v>449</v>
      </c>
      <c r="D174">
        <v>19.042999999999999</v>
      </c>
    </row>
    <row r="175" spans="1:4">
      <c r="A175" s="3">
        <f t="shared" si="4"/>
        <v>174</v>
      </c>
      <c r="B175" s="3" t="s">
        <v>386</v>
      </c>
      <c r="C175">
        <v>452</v>
      </c>
      <c r="D175">
        <v>19.042999999999999</v>
      </c>
    </row>
    <row r="176" spans="1:4">
      <c r="A176" s="3">
        <f t="shared" si="4"/>
        <v>175</v>
      </c>
      <c r="B176" s="3" t="s">
        <v>387</v>
      </c>
      <c r="C176">
        <v>455</v>
      </c>
      <c r="D176">
        <v>19.042999999999999</v>
      </c>
    </row>
    <row r="177" spans="1:4">
      <c r="A177" s="3">
        <f t="shared" si="4"/>
        <v>176</v>
      </c>
      <c r="B177" s="3" t="s">
        <v>388</v>
      </c>
      <c r="C177">
        <v>457</v>
      </c>
      <c r="D177">
        <v>19.042999999999999</v>
      </c>
    </row>
    <row r="178" spans="1:4">
      <c r="A178" s="3">
        <f t="shared" si="4"/>
        <v>177</v>
      </c>
      <c r="B178" s="3" t="s">
        <v>389</v>
      </c>
      <c r="C178">
        <v>460</v>
      </c>
      <c r="D178">
        <v>19.042999999999999</v>
      </c>
    </row>
    <row r="179" spans="1:4">
      <c r="A179" s="3">
        <f t="shared" si="4"/>
        <v>178</v>
      </c>
      <c r="B179" s="3" t="s">
        <v>390</v>
      </c>
      <c r="C179">
        <v>463</v>
      </c>
      <c r="D179">
        <v>19.042999999999999</v>
      </c>
    </row>
    <row r="180" spans="1:4">
      <c r="A180" s="3">
        <f t="shared" si="4"/>
        <v>179</v>
      </c>
      <c r="B180" s="3" t="s">
        <v>391</v>
      </c>
      <c r="C180">
        <v>466</v>
      </c>
      <c r="D180">
        <v>19.042999999999999</v>
      </c>
    </row>
    <row r="181" spans="1:4">
      <c r="A181" s="3">
        <f t="shared" si="4"/>
        <v>180</v>
      </c>
      <c r="B181" s="3" t="s">
        <v>382</v>
      </c>
      <c r="C181">
        <v>468</v>
      </c>
      <c r="D181">
        <v>19.042999999999999</v>
      </c>
    </row>
    <row r="182" spans="1:4">
      <c r="A182" s="3">
        <f t="shared" si="4"/>
        <v>181</v>
      </c>
      <c r="B182" s="3" t="s">
        <v>392</v>
      </c>
      <c r="C182">
        <v>471</v>
      </c>
      <c r="D182">
        <v>19.042999999999999</v>
      </c>
    </row>
    <row r="183" spans="1:4">
      <c r="A183" s="3">
        <f t="shared" si="4"/>
        <v>182</v>
      </c>
      <c r="B183" s="3" t="s">
        <v>393</v>
      </c>
      <c r="C183">
        <v>474</v>
      </c>
      <c r="D183">
        <v>19.042999999999999</v>
      </c>
    </row>
    <row r="184" spans="1:4">
      <c r="A184" s="3">
        <f t="shared" si="4"/>
        <v>183</v>
      </c>
      <c r="B184" s="3" t="s">
        <v>394</v>
      </c>
      <c r="C184">
        <v>477</v>
      </c>
      <c r="D184">
        <v>19.042999999999999</v>
      </c>
    </row>
    <row r="185" spans="1:4">
      <c r="A185" s="3">
        <f t="shared" si="4"/>
        <v>184</v>
      </c>
      <c r="B185" s="3" t="s">
        <v>395</v>
      </c>
      <c r="C185">
        <v>480</v>
      </c>
      <c r="D185">
        <v>19.042999999999999</v>
      </c>
    </row>
    <row r="186" spans="1:4">
      <c r="A186" s="3">
        <f t="shared" si="4"/>
        <v>185</v>
      </c>
      <c r="B186" s="3" t="s">
        <v>396</v>
      </c>
      <c r="C186">
        <v>483</v>
      </c>
      <c r="D186">
        <v>19.042999999999999</v>
      </c>
    </row>
    <row r="187" spans="1:4">
      <c r="A187" s="3">
        <f t="shared" si="4"/>
        <v>186</v>
      </c>
      <c r="B187" s="3" t="s">
        <v>397</v>
      </c>
      <c r="C187">
        <v>485</v>
      </c>
      <c r="D187">
        <v>19.042999999999999</v>
      </c>
    </row>
    <row r="188" spans="1:4">
      <c r="A188" s="3">
        <f t="shared" si="4"/>
        <v>187</v>
      </c>
      <c r="B188" s="3" t="s">
        <v>398</v>
      </c>
      <c r="C188">
        <v>488</v>
      </c>
      <c r="D188">
        <v>19.042999999999999</v>
      </c>
    </row>
    <row r="189" spans="1:4">
      <c r="A189" s="3">
        <f t="shared" si="4"/>
        <v>188</v>
      </c>
      <c r="B189" s="3" t="s">
        <v>399</v>
      </c>
      <c r="C189">
        <v>491</v>
      </c>
      <c r="D189">
        <v>19.042999999999999</v>
      </c>
    </row>
    <row r="190" spans="1:4">
      <c r="A190" s="3">
        <f t="shared" si="4"/>
        <v>189</v>
      </c>
      <c r="B190" s="3" t="s">
        <v>400</v>
      </c>
      <c r="C190">
        <v>494</v>
      </c>
      <c r="D190">
        <v>19.042999999999999</v>
      </c>
    </row>
    <row r="191" spans="1:4">
      <c r="A191" s="3">
        <f t="shared" si="4"/>
        <v>190</v>
      </c>
      <c r="B191" s="3" t="s">
        <v>401</v>
      </c>
      <c r="C191">
        <v>497</v>
      </c>
      <c r="D191">
        <v>19.042999999999999</v>
      </c>
    </row>
    <row r="192" spans="1:4">
      <c r="A192" s="3">
        <f t="shared" si="4"/>
        <v>191</v>
      </c>
      <c r="B192" s="3" t="s">
        <v>402</v>
      </c>
      <c r="C192">
        <v>500</v>
      </c>
      <c r="D192">
        <v>19.042999999999999</v>
      </c>
    </row>
    <row r="193" spans="1:4">
      <c r="A193" s="3">
        <f t="shared" si="4"/>
        <v>192</v>
      </c>
      <c r="B193" s="3" t="s">
        <v>403</v>
      </c>
      <c r="C193">
        <v>503</v>
      </c>
      <c r="D193">
        <v>19.042999999999999</v>
      </c>
    </row>
    <row r="194" spans="1:4">
      <c r="A194" s="3">
        <f t="shared" si="4"/>
        <v>193</v>
      </c>
      <c r="B194" s="3" t="s">
        <v>404</v>
      </c>
      <c r="C194">
        <v>505</v>
      </c>
      <c r="D194">
        <v>19.042999999999999</v>
      </c>
    </row>
    <row r="195" spans="1:4">
      <c r="A195" s="3">
        <f t="shared" si="4"/>
        <v>194</v>
      </c>
      <c r="B195" s="3" t="s">
        <v>405</v>
      </c>
      <c r="C195">
        <v>507</v>
      </c>
      <c r="D195">
        <v>19.042999999999999</v>
      </c>
    </row>
    <row r="196" spans="1:4">
      <c r="A196" s="3">
        <f t="shared" si="4"/>
        <v>195</v>
      </c>
      <c r="B196" s="3" t="s">
        <v>406</v>
      </c>
      <c r="C196">
        <v>510</v>
      </c>
      <c r="D196">
        <v>19.042999999999999</v>
      </c>
    </row>
    <row r="197" spans="1:4">
      <c r="A197" s="3">
        <f t="shared" si="4"/>
        <v>196</v>
      </c>
      <c r="B197" s="3" t="s">
        <v>407</v>
      </c>
      <c r="C197">
        <v>513</v>
      </c>
      <c r="D197">
        <v>19.042999999999999</v>
      </c>
    </row>
    <row r="198" spans="1:4">
      <c r="A198" s="3">
        <f t="shared" si="4"/>
        <v>197</v>
      </c>
      <c r="B198" s="3" t="s">
        <v>408</v>
      </c>
      <c r="C198">
        <v>516</v>
      </c>
      <c r="D198">
        <v>19.042999999999999</v>
      </c>
    </row>
    <row r="199" spans="1:4">
      <c r="A199" s="3">
        <f t="shared" si="4"/>
        <v>198</v>
      </c>
      <c r="B199" s="3" t="s">
        <v>409</v>
      </c>
      <c r="C199">
        <v>519</v>
      </c>
      <c r="D199">
        <v>19.042999999999999</v>
      </c>
    </row>
    <row r="200" spans="1:4">
      <c r="A200" s="3">
        <f t="shared" si="4"/>
        <v>199</v>
      </c>
      <c r="B200" s="3" t="s">
        <v>410</v>
      </c>
      <c r="C200">
        <v>522</v>
      </c>
      <c r="D200">
        <v>19.042999999999999</v>
      </c>
    </row>
    <row r="201" spans="1:4">
      <c r="A201" s="3">
        <f t="shared" si="4"/>
        <v>200</v>
      </c>
      <c r="B201" s="3" t="s">
        <v>411</v>
      </c>
      <c r="C201">
        <v>525</v>
      </c>
      <c r="D201">
        <v>19.042999999999999</v>
      </c>
    </row>
  </sheetData>
  <phoneticPr fontId="0" type="noConversion"/>
  <printOptions gridLines="1" gridLinesSet="0"/>
  <pageMargins left="0.75" right="0.75" top="1" bottom="1" header="0.5" footer="0.5"/>
  <pageSetup paperSize="9" orientation="portrait" horizontalDpi="4294967292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207</vt:i4>
      </vt:variant>
    </vt:vector>
  </HeadingPairs>
  <TitlesOfParts>
    <vt:vector size="216" baseType="lpstr">
      <vt:lpstr>Base</vt:lpstr>
      <vt:lpstr>Global</vt:lpstr>
      <vt:lpstr>ChargeStates -&gt; MeanValue</vt:lpstr>
      <vt:lpstr>PID resolution calculator</vt:lpstr>
      <vt:lpstr>ReactionCalculation</vt:lpstr>
      <vt:lpstr>List of LISE.xlsm functions</vt:lpstr>
      <vt:lpstr>work</vt:lpstr>
      <vt:lpstr>parameters</vt:lpstr>
      <vt:lpstr>data</vt:lpstr>
      <vt:lpstr>_1st_Z__detector_material</vt:lpstr>
      <vt:lpstr>_1st_Z__detector_thickness</vt:lpstr>
      <vt:lpstr>_Rn1</vt:lpstr>
      <vt:lpstr>_Rn2</vt:lpstr>
      <vt:lpstr>_Rp1</vt:lpstr>
      <vt:lpstr>_Rt1</vt:lpstr>
      <vt:lpstr>'PID resolution calculator'!A</vt:lpstr>
      <vt:lpstr>ReactionCalculation!a</vt:lpstr>
      <vt:lpstr>A__from_A_q___q___integer</vt:lpstr>
      <vt:lpstr>A__from_A_q___q___measur</vt:lpstr>
      <vt:lpstr>A__from_TKE</vt:lpstr>
      <vt:lpstr>A_2</vt:lpstr>
      <vt:lpstr>A_2q</vt:lpstr>
      <vt:lpstr>A_2Z</vt:lpstr>
      <vt:lpstr>A_3q</vt:lpstr>
      <vt:lpstr>a_pin_de</vt:lpstr>
      <vt:lpstr>A_q</vt:lpstr>
      <vt:lpstr>a_sci_de</vt:lpstr>
      <vt:lpstr>a_tof</vt:lpstr>
      <vt:lpstr>a_tof2</vt:lpstr>
      <vt:lpstr>a_z</vt:lpstr>
      <vt:lpstr>A2_</vt:lpstr>
      <vt:lpstr>Ac</vt:lpstr>
      <vt:lpstr>Ac3_</vt:lpstr>
      <vt:lpstr>aem</vt:lpstr>
      <vt:lpstr>Afragment</vt:lpstr>
      <vt:lpstr>AngDif1</vt:lpstr>
      <vt:lpstr>AngDif2</vt:lpstr>
      <vt:lpstr>Ap</vt:lpstr>
      <vt:lpstr>Ap3_</vt:lpstr>
      <vt:lpstr>Aparticle</vt:lpstr>
      <vt:lpstr>Aparticle_g</vt:lpstr>
      <vt:lpstr>Aq_2</vt:lpstr>
      <vt:lpstr>At</vt:lpstr>
      <vt:lpstr>At3_</vt:lpstr>
      <vt:lpstr>AtAp3</vt:lpstr>
      <vt:lpstr>Atarget</vt:lpstr>
      <vt:lpstr>Atarget_g</vt:lpstr>
      <vt:lpstr>b_pin_de</vt:lpstr>
      <vt:lpstr>b_sci_de</vt:lpstr>
      <vt:lpstr>b_tof</vt:lpstr>
      <vt:lpstr>b_tof2</vt:lpstr>
      <vt:lpstr>b_z</vt:lpstr>
      <vt:lpstr>BeamZ</vt:lpstr>
      <vt:lpstr>beta</vt:lpstr>
      <vt:lpstr>beta_2</vt:lpstr>
      <vt:lpstr>beta_up</vt:lpstr>
      <vt:lpstr>beta_up2</vt:lpstr>
      <vt:lpstr>beta2</vt:lpstr>
      <vt:lpstr>betaS_up</vt:lpstr>
      <vt:lpstr>betaS2</vt:lpstr>
      <vt:lpstr>betaS2_up</vt:lpstr>
      <vt:lpstr>bgr</vt:lpstr>
      <vt:lpstr>Brho</vt:lpstr>
      <vt:lpstr>brho_up</vt:lpstr>
      <vt:lpstr>C_</vt:lpstr>
      <vt:lpstr>c_speed</vt:lpstr>
      <vt:lpstr>CCp</vt:lpstr>
      <vt:lpstr>CCt</vt:lpstr>
      <vt:lpstr>coef_Aq</vt:lpstr>
      <vt:lpstr>Cp</vt:lpstr>
      <vt:lpstr>Cp1_</vt:lpstr>
      <vt:lpstr>Cp2_</vt:lpstr>
      <vt:lpstr>Ct</vt:lpstr>
      <vt:lpstr>Ct1_</vt:lpstr>
      <vt:lpstr>Ct2_</vt:lpstr>
      <vt:lpstr>d_AoQ_1</vt:lpstr>
      <vt:lpstr>d_AoQ_2</vt:lpstr>
      <vt:lpstr>dA_shift</vt:lpstr>
      <vt:lpstr>dEc</vt:lpstr>
      <vt:lpstr>definition</vt:lpstr>
      <vt:lpstr>dEp</vt:lpstr>
      <vt:lpstr>dEt</vt:lpstr>
      <vt:lpstr>Detector_resolution</vt:lpstr>
      <vt:lpstr>Dgr</vt:lpstr>
      <vt:lpstr>Dgr_AtAp</vt:lpstr>
      <vt:lpstr>Dgr_AtAp3</vt:lpstr>
      <vt:lpstr>dispersion</vt:lpstr>
      <vt:lpstr>E1_loss</vt:lpstr>
      <vt:lpstr>Ecm</vt:lpstr>
      <vt:lpstr>Ecm_Q</vt:lpstr>
      <vt:lpstr>Elab</vt:lpstr>
      <vt:lpstr>Elab_A</vt:lpstr>
      <vt:lpstr>Eloss_option</vt:lpstr>
      <vt:lpstr>'ChargeStates -&gt; MeanValue'!energy</vt:lpstr>
      <vt:lpstr>'PID resolution calculator'!Energy</vt:lpstr>
      <vt:lpstr>energy</vt:lpstr>
      <vt:lpstr>Energy_2</vt:lpstr>
      <vt:lpstr>Energy_g</vt:lpstr>
      <vt:lpstr>Energy_loss_option</vt:lpstr>
      <vt:lpstr>Energy2</vt:lpstr>
      <vt:lpstr>ETA</vt:lpstr>
      <vt:lpstr>Fast_g</vt:lpstr>
      <vt:lpstr>Flight_Length</vt:lpstr>
      <vt:lpstr>formula</vt:lpstr>
      <vt:lpstr>gamma</vt:lpstr>
      <vt:lpstr>gamma_2</vt:lpstr>
      <vt:lpstr>gamma_up</vt:lpstr>
      <vt:lpstr>gammaS_up</vt:lpstr>
      <vt:lpstr>HF</vt:lpstr>
      <vt:lpstr>IonMass</vt:lpstr>
      <vt:lpstr>k</vt:lpstr>
      <vt:lpstr>Lcr</vt:lpstr>
      <vt:lpstr>LcriticalF</vt:lpstr>
      <vt:lpstr>length1</vt:lpstr>
      <vt:lpstr>length2</vt:lpstr>
      <vt:lpstr>Lmax</vt:lpstr>
      <vt:lpstr>m</vt:lpstr>
      <vt:lpstr>M_ion</vt:lpstr>
      <vt:lpstr>M_ion_2</vt:lpstr>
      <vt:lpstr>M_ion_q_2</vt:lpstr>
      <vt:lpstr>M_isotope</vt:lpstr>
      <vt:lpstr>M_isotope_2</vt:lpstr>
      <vt:lpstr>m_TOF</vt:lpstr>
      <vt:lpstr>mass_58Ni</vt:lpstr>
      <vt:lpstr>Material_pin</vt:lpstr>
      <vt:lpstr>Mc</vt:lpstr>
      <vt:lpstr>me_TKE</vt:lpstr>
      <vt:lpstr>me_TOF</vt:lpstr>
      <vt:lpstr>Momentum_Resolution</vt:lpstr>
      <vt:lpstr>MoQ1_int</vt:lpstr>
      <vt:lpstr>Mp</vt:lpstr>
      <vt:lpstr>Mt</vt:lpstr>
      <vt:lpstr>name</vt:lpstr>
      <vt:lpstr>Name_p</vt:lpstr>
      <vt:lpstr>Name_t</vt:lpstr>
      <vt:lpstr>offsetX</vt:lpstr>
      <vt:lpstr>Opt</vt:lpstr>
      <vt:lpstr>Option_g</vt:lpstr>
      <vt:lpstr>Base!Print_Area</vt:lpstr>
      <vt:lpstr>parameters!Print_Area</vt:lpstr>
      <vt:lpstr>ReactionCalculation!Print_Area</vt:lpstr>
      <vt:lpstr>'PID resolution calculator'!q</vt:lpstr>
      <vt:lpstr>Q</vt:lpstr>
      <vt:lpstr>q_2</vt:lpstr>
      <vt:lpstr>Qc</vt:lpstr>
      <vt:lpstr>Qcr</vt:lpstr>
      <vt:lpstr>Qgr</vt:lpstr>
      <vt:lpstr>QP_CM</vt:lpstr>
      <vt:lpstr>radius</vt:lpstr>
      <vt:lpstr>Range_option</vt:lpstr>
      <vt:lpstr>Rbar</vt:lpstr>
      <vt:lpstr>Rbarrier</vt:lpstr>
      <vt:lpstr>Rc_</vt:lpstr>
      <vt:lpstr>re_Brho</vt:lpstr>
      <vt:lpstr>re_Eloss</vt:lpstr>
      <vt:lpstr>re_TKE</vt:lpstr>
      <vt:lpstr>re_TOF</vt:lpstr>
      <vt:lpstr>relat_PPAC_dE</vt:lpstr>
      <vt:lpstr>Rint</vt:lpstr>
      <vt:lpstr>Rn</vt:lpstr>
      <vt:lpstr>Ro</vt:lpstr>
      <vt:lpstr>Rp</vt:lpstr>
      <vt:lpstr>Rpcharge</vt:lpstr>
      <vt:lpstr>RRp</vt:lpstr>
      <vt:lpstr>RRt</vt:lpstr>
      <vt:lpstr>Rt</vt:lpstr>
      <vt:lpstr>Rtcharge</vt:lpstr>
      <vt:lpstr>RtRp</vt:lpstr>
      <vt:lpstr>se_Brho</vt:lpstr>
      <vt:lpstr>se_Eloss</vt:lpstr>
      <vt:lpstr>se_TKE</vt:lpstr>
      <vt:lpstr>se_TOF</vt:lpstr>
      <vt:lpstr>se_Z</vt:lpstr>
      <vt:lpstr>SGcr</vt:lpstr>
      <vt:lpstr>SGMAR</vt:lpstr>
      <vt:lpstr>SGMgr1</vt:lpstr>
      <vt:lpstr>SGMgr2</vt:lpstr>
      <vt:lpstr>shift</vt:lpstr>
      <vt:lpstr>shift_calc</vt:lpstr>
      <vt:lpstr>shift2</vt:lpstr>
      <vt:lpstr>SI</vt:lpstr>
      <vt:lpstr>slope_Brho</vt:lpstr>
      <vt:lpstr>slopeX</vt:lpstr>
      <vt:lpstr>stepE</vt:lpstr>
      <vt:lpstr>straggling</vt:lpstr>
      <vt:lpstr>target</vt:lpstr>
      <vt:lpstr>Thickness</vt:lpstr>
      <vt:lpstr>Thickness_g</vt:lpstr>
      <vt:lpstr>Thickness_pin</vt:lpstr>
      <vt:lpstr>'PID resolution calculator'!TKE</vt:lpstr>
      <vt:lpstr>ReactionCalculation!TKE</vt:lpstr>
      <vt:lpstr>tke_up</vt:lpstr>
      <vt:lpstr>TOF</vt:lpstr>
      <vt:lpstr>VC</vt:lpstr>
      <vt:lpstr>VC_Rbar</vt:lpstr>
      <vt:lpstr>VC_Rc</vt:lpstr>
      <vt:lpstr>velocity</vt:lpstr>
      <vt:lpstr>velocity_2</vt:lpstr>
      <vt:lpstr>WaveLength</vt:lpstr>
      <vt:lpstr>X_dispersion</vt:lpstr>
      <vt:lpstr>X_image_at_target</vt:lpstr>
      <vt:lpstr>X_magnification___disp.plane</vt:lpstr>
      <vt:lpstr>Z</vt:lpstr>
      <vt:lpstr>Z_2</vt:lpstr>
      <vt:lpstr>'PID resolution calculator'!Zc</vt:lpstr>
      <vt:lpstr>Zc</vt:lpstr>
      <vt:lpstr>Zfragment</vt:lpstr>
      <vt:lpstr>ZmQ</vt:lpstr>
      <vt:lpstr>ZmQ_in_g</vt:lpstr>
      <vt:lpstr>ZmQ_out_g</vt:lpstr>
      <vt:lpstr>Zp</vt:lpstr>
      <vt:lpstr>Zparticle</vt:lpstr>
      <vt:lpstr>Zparticle_g</vt:lpstr>
      <vt:lpstr>Zt</vt:lpstr>
      <vt:lpstr>Ztarget</vt:lpstr>
      <vt:lpstr>Ztarget_g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GANIL</dc:creator>
  <cp:lastModifiedBy>Tarasov, Oleg</cp:lastModifiedBy>
  <cp:lastPrinted>2002-10-30T23:37:08Z</cp:lastPrinted>
  <dcterms:created xsi:type="dcterms:W3CDTF">2006-07-07T19:15:45Z</dcterms:created>
  <dcterms:modified xsi:type="dcterms:W3CDTF">2019-04-08T17:38:33Z</dcterms:modified>
</cp:coreProperties>
</file>